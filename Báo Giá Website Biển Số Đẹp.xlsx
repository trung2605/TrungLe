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C_HeThong" sheetId="1" r:id="rId5"/>
    <sheet state="visible" name="Đơn Giá Hệ Thống" sheetId="2" r:id="rId6"/>
    <sheet state="visible" name="BaoGia" sheetId="3" r:id="rId7"/>
    <sheet state="visible" name="Business Logic " sheetId="4" r:id="rId8"/>
    <sheet state="hidden" name="ChinhSach" sheetId="5" r:id="rId9"/>
    <sheet state="hidden" name="NangCap" sheetId="6" r:id="rId10"/>
  </sheets>
  <definedNames/>
  <calcPr/>
</workbook>
</file>

<file path=xl/sharedStrings.xml><?xml version="1.0" encoding="utf-8"?>
<sst xmlns="http://schemas.openxmlformats.org/spreadsheetml/2006/main" count="328" uniqueCount="248">
  <si>
    <t>GIẢ ĐỊNH &amp; ĐƠN GIÁ ĐẦU VÀO</t>
  </si>
  <si>
    <t>DANH SÁCH ĐẦY ĐỦ USE CASE HỆ THỐNG &amp; ƯỚC TÍNH MAN-DAY</t>
  </si>
  <si>
    <t>BÁO GIÁ DỰ ÁN: WEBSITE BÁN BIỂN SỐ ĐẸP</t>
  </si>
  <si>
    <t>Giá tính theo khối lượng man-day thực tế của từng gói (xem chi tiết UC ở sheet UC_HeThong), không còn cố định theo tháng. Khách đã có domain riêng - chỉ tính chi phí server.</t>
  </si>
  <si>
    <t>Cột "Có trong MVP?" đánh dấu UC nào nằm trong gói MVP đã thống nhất; các UC còn lại thuộc phạm vi mở rộng / giai đoạn sau. Ước tính man-day cho 1 dev làm full-time.</t>
  </si>
  <si>
    <t>Các ô màu vàng/chữ xanh dương là số có thể chỉnh sửa. Toàn bộ bảng báo giá ở sheet "BaoGia" và tổng man-day ở sheet "UC_HeThong" sẽ tự tính lại theo các ô này.</t>
  </si>
  <si>
    <t>Hạng mục</t>
  </si>
  <si>
    <t>STT</t>
  </si>
  <si>
    <t>Mã UC</t>
  </si>
  <si>
    <t>Thông số</t>
  </si>
  <si>
    <t>Gói MVP - 1 dev</t>
  </si>
  <si>
    <t>Tên Use Case</t>
  </si>
  <si>
    <t>Actor</t>
  </si>
  <si>
    <t>Gói MVP - 2 dev</t>
  </si>
  <si>
    <t>Giá trị</t>
  </si>
  <si>
    <t>Mô tả chi tiết</t>
  </si>
  <si>
    <t>Gói Đầy đủ - 1 dev</t>
  </si>
  <si>
    <t>Đơn vị</t>
  </si>
  <si>
    <t>Gói Đầy đủ - 2 dev</t>
  </si>
  <si>
    <t>Man-day</t>
  </si>
  <si>
    <t>Ghi chú / Nguồn</t>
  </si>
  <si>
    <t>Phạm vi</t>
  </si>
  <si>
    <t>Có trong MVP?</t>
  </si>
  <si>
    <t>Đơn giá dev chính (fresher-level) / ngày công</t>
  </si>
  <si>
    <t>UC01-UC12 + NFR01-03 (12 UC chức năng + 3 yêu cầu phi chức năng)</t>
  </si>
  <si>
    <t xml:space="preserve">Đã làm </t>
  </si>
  <si>
    <t>UC01-UC12 + NFR01-03 (như bên trái, làm nhanh hơn)</t>
  </si>
  <si>
    <t>Toàn bộ UC01-UC26 + NFR01-03 (gồm đấu giá, thanh toán online, blog, dashboard, hợp mệnh, ký gửi, cộng tác viên, AI tư vấn...)</t>
  </si>
  <si>
    <t>Toàn bộ UC01-UC26 + NFR01-03 (như bên trái, làm nhanh hơn)</t>
  </si>
  <si>
    <t>Tổng man-day (theo UC_HeThong)</t>
  </si>
  <si>
    <t>NHÓM A — NGƯỜI DÙNG  (thuộc MVP)</t>
  </si>
  <si>
    <t>đ/ngày</t>
  </si>
  <si>
    <t>Tham khảo thị trường freelance VN 2026: freshser-level 250.000-500.000đ/ngày (TopCV, CodeGym)</t>
  </si>
  <si>
    <t>Hệ số giá gói 2 dev (so với gói 1 dev cùng phạm vi)</t>
  </si>
  <si>
    <t>hệ số</t>
  </si>
  <si>
    <t>UC01</t>
  </si>
  <si>
    <t>2 dev mắc hơn 1 dev 1,75 lần (không phải x2) - bù chi phí phối hợp/quản lý, đổi lại rút ngắn thời gian hoàn thành gần một nửa.</t>
  </si>
  <si>
    <t>Xem danh sách &amp; lọc/tìm kiếm biển số</t>
  </si>
  <si>
    <t>Khách vãng lai, Khách hàng</t>
  </si>
  <si>
    <t>Hiển thị lưới/danh sách biển số đang bán; lọc theo loại (ngũ quý, tứ quý, tam hoa, lộc phát...), theo tỉnh/thành, khoảng giá, loại xe; sắp xếp theo giá/mới nhất.</t>
  </si>
  <si>
    <t>Hệ số chiết khấu chi phí Dev (áp cho toàn bộ các gói)</t>
  </si>
  <si>
    <t>Giảm 50% chi phí Dev so với đơn giá thị trường tham khảo ở trên - theo yêu cầu điều chỉnh giá cho khách. 1.00 = không giảm, 0.50 = giảm 50%.</t>
  </si>
  <si>
    <t>Có</t>
  </si>
  <si>
    <t>Giá server / tháng (VPS cơ bản, đủ Node+MySQL+Redis)</t>
  </si>
  <si>
    <t>đ/tháng</t>
  </si>
  <si>
    <t>Khách đã có domain riêng. Tham khảo VPS 2vCPU/4GB RAM.</t>
  </si>
  <si>
    <t>Số tháng tính phí server trong báo giá</t>
  </si>
  <si>
    <t>UC02</t>
  </si>
  <si>
    <t>tháng</t>
  </si>
  <si>
    <t>Xem chi tiết biển số</t>
  </si>
  <si>
    <t>Gồm tháng phát triển + tháng đầu vận hành sau bàn giao.</t>
  </si>
  <si>
    <t>Trang chi tiết 1 biển số: hình ảnh, giá, ý nghĩa phong thủy, nút liên hệ/gọi ngay, nút lưu yêu thích, gợi ý biển số tương tự.</t>
  </si>
  <si>
    <t>Số ngày làm việc / tuần (để quy đổi man-day ra thời gian)</t>
  </si>
  <si>
    <t>ngày/tuần</t>
  </si>
  <si>
    <t>Dùng để ước tính thời gian hoàn thành (tuần) từ tổng man-day, không còn cố định theo gói tháng.</t>
  </si>
  <si>
    <t>UC03</t>
  </si>
  <si>
    <t>Đăng ký / Đăng nhập / Đăng xuất / Quên mật khẩu</t>
  </si>
  <si>
    <t>Khách hàng</t>
  </si>
  <si>
    <t>Tạo tài khoản bằng email hoặc số điện thoại, xác thực, đăng nhập/đăng xuất, luồng quên &amp; đặt lại mật khẩu.</t>
  </si>
  <si>
    <t>UC04</t>
  </si>
  <si>
    <t>Lưu &amp; quản lý danh sách yêu thích</t>
  </si>
  <si>
    <t>CHÍNH SÁCH THANH TOÁN, THƯỞNG - PHẠT TIẾN ĐỘ &amp; BẢO HÀNH - BẢO TRÌ</t>
  </si>
  <si>
    <t>Thêm/xóa biển số vào danh sách yêu thích ngay tại trang danh sách hoặc chi tiết; trang riêng xem lại toàn bộ số đã lưu.</t>
  </si>
  <si>
    <t>Số ngày ân hạn trước khi tính thưởng/phạt</t>
  </si>
  <si>
    <t>0.5</t>
  </si>
  <si>
    <t>ngày</t>
  </si>
  <si>
    <t>Sớm/trễ trong khoảng ân hạn này chưa tính thưởng/phạt, tránh tranh cãi vặt vài ngày.</t>
  </si>
  <si>
    <t>% thưởng mỗi ngày hoàn thành sớm (so với giá trị hợp đồng)</t>
  </si>
  <si>
    <t>UC05</t>
  </si>
  <si>
    <t>Tích hợp chat widget</t>
  </si>
  <si>
    <t>Áp dụng cho mọi gói ở sheet BaoGia. Mốc hoàn thành tính theo ngày lịch (7 ngày/tuần), không phải ngày làm việc.</t>
  </si>
  <si>
    <t>Nhúng chat trực tuyến (VD: Tawk.to/Facebook Messenger) hiển thị trên mọi trang để khách hỏi nhanh.</t>
  </si>
  <si>
    <t>Có thể đẩy lên 75 cho cả 2 dạng 1dev và 2dev</t>
  </si>
  <si>
    <t>%</t>
  </si>
  <si>
    <t>0,5%/ngày sớm — ví dụ hợp đồng 20 triệu, sớm 1 ngày (ngoài ân hạn) thưởng 100.000đ.</t>
  </si>
  <si>
    <t>Trần thưởng tối đa (so với giá trị hợp đồng)</t>
  </si>
  <si>
    <t>Ngày công / dev</t>
  </si>
  <si>
    <t>1. LỘ TRÌNH THANH TOÁN</t>
  </si>
  <si>
    <t>UC06</t>
  </si>
  <si>
    <t>Liên hệ nhanh qua Zalo</t>
  </si>
  <si>
    <t>Nút/icon click-to-chat mở thẳng cuộc trò chuyện Zalo với người bán, không cần nhập số điện thoại.</t>
  </si>
  <si>
    <t>Thưởng tối đa không vượt quá 15% giá trị hợp đồng dù sớm bao nhiêu ngày.</t>
  </si>
  <si>
    <t>UC07</t>
  </si>
  <si>
    <t>Gửi yêu cầu liên hệ / đặt mua biển số</t>
  </si>
  <si>
    <t>% phạt mỗi ngày trễ tiến độ (so với giá trị hợp đồng)</t>
  </si>
  <si>
    <t>Form nhập thông tin liên hệ (tên, SĐT, biển số quan tâm), gửi email/thông báo về admin để tư vấn tiếp (xử lý offline, chưa thanh toán online).</t>
  </si>
  <si>
    <t>- Khách đặt cọc một phần khi ký hợp đồng để dev bắt đầu triển khai; phần còn lại thanh toán khi bàn giao xong toàn bộ và khách đã kiểm tra hoạt động ổn định.</t>
  </si>
  <si>
    <t>0,5%/ngày trễ — cùng mức với thưởng để công bằng hai chiều.</t>
  </si>
  <si>
    <t>Trần phạt tối đa (so với giá trị hợp đồng)</t>
  </si>
  <si>
    <t>gửi mail hoặc sheet</t>
  </si>
  <si>
    <t>Phạt tối đa không vượt quá 20% giá trị hợp đồng dù trễ bao nhiêu ngày.</t>
  </si>
  <si>
    <t>- Tỷ lệ đặt cọc áp dụng chung cho mọi gói (chỉnh ở sheet GiaDinh), có thể thương lượng riêng theo từng hợp đồng nếu cần chia thêm mốc thanh toán.</t>
  </si>
  <si>
    <t>Số ngày ví dụ minh họa — hoàn thành SỚM</t>
  </si>
  <si>
    <t>NHÓM B — QUẢN TRỊ VIÊN / ADMIN  (thuộc MVP)</t>
  </si>
  <si>
    <t>Chỉ để minh họa cách tính, có thể đổi.</t>
  </si>
  <si>
    <t>Số ngày ví dụ minh họa — hoàn thành TRỄ</t>
  </si>
  <si>
    <t>Số ngày bảo hành miễn phí sau bàn giao</t>
  </si>
  <si>
    <t>Trong thời gian này, mọi lỗi phát sinh từ code đã bàn giao được sửa miễn phí.</t>
  </si>
  <si>
    <t>Phí bảo trì / tháng — Gói Cơ bản (sau bảo hành)</t>
  </si>
  <si>
    <t>UC08</t>
  </si>
  <si>
    <t>Đăng nhập quản trị &amp; phân quyền</t>
  </si>
  <si>
    <t>Admin</t>
  </si>
  <si>
    <t>Theo dõi server, vá lỗi nhỏ, không gồm phát triển tính năng mới.</t>
  </si>
  <si>
    <t>Giá trị hợp đồng (tổng chi phí)</t>
  </si>
  <si>
    <t>Trang đăng nhập riêng cho admin, bảo vệ toàn bộ khu vực quản trị khỏi truy cập trái phép.</t>
  </si>
  <si>
    <t>Thời gian dự kiến hoàn thành</t>
  </si>
  <si>
    <t>Phí bảo trì / tháng — Gói Nâng cao (sau bảo hành)</t>
  </si>
  <si>
    <t>Như gói Cơ bản + cập nhật bảo mật định kỳ + hỗ trợ ưu tiên (phản hồi trong 24h) + tối đa 1 thay đổi nhỏ/tháng (không tính tính năng lớn mới).</t>
  </si>
  <si>
    <t>UC09</t>
  </si>
  <si>
    <t>% đặt cọc khi ký hợp đồng</t>
  </si>
  <si>
    <t>Quản lý biển số (thêm/sửa/xóa, upload ảnh)</t>
  </si>
  <si>
    <t>Đặt cọc để bắt đầu triển khai; phần còn lại thanh toán khi bàn giao xong toàn bộ.</t>
  </si>
  <si>
    <t>CRUD đầy đủ cho biển số: nhập thông tin, upload/đổi ảnh, đổi trạng thái còn hàng/đã bán, ẩn/hiện.</t>
  </si>
  <si>
    <t>Hệ số phụ phí nâng cấp sau (mua thêm phần mở rộng sau khi đã có MVP)</t>
  </si>
  <si>
    <t>Mua thêm tính năng mở rộng SAU khi MVP đã chạy sẽ mắc hơn 20% so với mua trọn gói Đầy đủ ngay từ đầu, vì phải tích hợp vào hệ thống đang vận hành, kiểm thử lại phần cũ và sắp xếp lịch làm việc riêng.</t>
  </si>
  <si>
    <t>UC10</t>
  </si>
  <si>
    <t>Quản lý danh mục</t>
  </si>
  <si>
    <t>CRUD danh mục lọc: loại biển (ngũ quý, tứ quý...), tỉnh/thành, khoảng giá, loại xe.</t>
  </si>
  <si>
    <t>UC11</t>
  </si>
  <si>
    <t>Quản lý yêu cầu liên hệ từ khách</t>
  </si>
  <si>
    <t>Xem danh sách khách đã gửi form liên hệ/đặt mua, cập nhật trạng thái xử lý (mới/đang tư vấn/đã chốt).</t>
  </si>
  <si>
    <t>mail và sheet</t>
  </si>
  <si>
    <t>UC12</t>
  </si>
  <si>
    <t>Quản lý tài khoản khách hàng</t>
  </si>
  <si>
    <t>Xem danh sách khách đã đăng ký, khóa/mở tài khoản khi cần.</t>
  </si>
  <si>
    <t>chưa cần</t>
  </si>
  <si>
    <t>NHÓM C — YÊU CẦU PHI CHỨC NĂNG  (thuộc MVP)</t>
  </si>
  <si>
    <t>Chi phí Dev</t>
  </si>
  <si>
    <t>NFR01</t>
  </si>
  <si>
    <t>Đặt cọc khi ký hợp đồng</t>
  </si>
  <si>
    <t>Responsive &amp; tối ưu giao diện</t>
  </si>
  <si>
    <t>—</t>
  </si>
  <si>
    <t>Đảm bảo hiển thị tốt trên mobile/tablet/desktop cho toàn bộ trang, dựa trên template có sẵn.</t>
  </si>
  <si>
    <t>NFR02</t>
  </si>
  <si>
    <t>SEO cơ bản</t>
  </si>
  <si>
    <t>Meta tag động theo từng trang, sitemap.xml, cấu trúc URL thân thiện, tối ưu tốc độ tải trang.</t>
  </si>
  <si>
    <t>NFR03</t>
  </si>
  <si>
    <t>Kiểm thử tổng thể &amp; triển khai</t>
  </si>
  <si>
    <t>Test toàn bộ luồng chính, sửa lỗi phát sinh, cấu hình &amp; deploy lên server, bàn giao.</t>
  </si>
  <si>
    <t>Tổng man-day của MVP</t>
  </si>
  <si>
    <t>NHÓM D — MỞ RỘNG / GIAI ĐOẠN SAU  (KHÔNG thuộc MVP)</t>
  </si>
  <si>
    <t>UC13</t>
  </si>
  <si>
    <t>Đấu giá biển số online</t>
  </si>
  <si>
    <t>Khách hàng, Admin</t>
  </si>
  <si>
    <t>Biến những biển số hiếm thành sự kiện đấu giá hấp dẫn: khách đăng nhập và đặt giá trực tiếp trên web, giá cập nhật theo thời gian thực để mọi người cùng thấy, hệ thống tự động xác định người thắng khi hết giờ và gửi thông báo ngay lập tức. Đây là cách hiệu quả để đẩy giá trị các biển ngũ quý, tứ quý hiếm lên cao nhất thay vì bán giá cố định.</t>
  </si>
  <si>
    <t>Không</t>
  </si>
  <si>
    <t>Thanh toán khi hoàn tất &amp; bàn giao (còn lại)</t>
  </si>
  <si>
    <t>UC14</t>
  </si>
  <si>
    <t>Thanh toán / đặt cọc online</t>
  </si>
  <si>
    <t>Cho phép khách đặt cọc giữ chỗ hoặc thanh toán toàn bộ ngay trên web qua VNPay/Momo — không cần chờ gặp mặt hay chuyển khoản thủ công. Hệ thống tự động xác nhận giao dịch, cập nhật trạng thái 'đã đặt cọc' để tránh bán trùng cho nhiều người, và lưu lịch sử để đối soát cuối tháng.</t>
  </si>
  <si>
    <t>UC15</t>
  </si>
  <si>
    <t>Đánh giá &amp; nhận xét</t>
  </si>
  <si>
    <t>Sau khi giao dịch xong, khách để lại đánh giá và cảm nhận ngay trên web. Đánh giá tích cực hiển thị công khai, tạo niềm tin cho khách mới đang phân vân — giống review 5 sao trên Shopee/Tiki, rất quan trọng với ngành hàng cần độ tin cậy cao như biển số xe.</t>
  </si>
  <si>
    <t>UC16</t>
  </si>
  <si>
    <t>So sánh nhiều biển số</t>
  </si>
  <si>
    <t>Khách chọn 2-3 biển số ưng ý rồi xem bảng so sánh giá và ý nghĩa phong thủy đặt cạnh nhau, giúp ra quyết định nhanh hơn thay vì phải mở từng trang riêng để đối chiếu.</t>
  </si>
  <si>
    <t>Chi phí Server (VPS)</t>
  </si>
  <si>
    <t>UC17</t>
  </si>
  <si>
    <t>Thông báo biển số mới theo tiêu chí đã lưu</t>
  </si>
  <si>
    <t>Khách lưu lại tiêu chí đang tìm (VD: đuôi 79, dưới 50 triệu), hệ thống tự động gửi email/thông báo ngay khi có biển mới phù hợp xuất hiện — giữ chân khách quay lại thay vì họ phải tự vào kiểm tra mỗi ngày.</t>
  </si>
  <si>
    <t>UC18</t>
  </si>
  <si>
    <t>Blog / tin tức &amp; quản lý bài viết</t>
  </si>
  <si>
    <t>Khách vãng lai, Admin</t>
  </si>
  <si>
    <t>Trang chia sẻ kiến thức phong thủy chọn biển số, cập nhật quy định biển số mới của nhà nước, kèm công cụ soạn thảo cho admin để đăng bài dễ như viết Facebook. Đây cũng là kênh SEO mạnh giúp web lên top Google khi khách tìm 'biển số hợp mệnh', 'ý nghĩa biển ngũ quý'...</t>
  </si>
  <si>
    <t>UC19</t>
  </si>
  <si>
    <t>Dashboard thống kê cho Admin</t>
  </si>
  <si>
    <t>Màn hình tổng quan trực quan cho chủ shop: biểu đồ doanh thu theo tuần/tháng, biển số nào được xem nhiều nhất, khách đến từ nguồn nào — giúp ra quyết định kinh doanh (nên nhập thêm loại biển nào, chạy quảng cáo ở đâu) mà không cần mở Excel tính tay.</t>
  </si>
  <si>
    <t>UC20</t>
  </si>
  <si>
    <t>Quản lý nhiều Admin / nhân viên &amp; phân quyền</t>
  </si>
  <si>
    <t>Admin cấp cao</t>
  </si>
  <si>
    <t>Khi shop mở rộng có thêm nhân viên, chủ shop tạo tài khoản riêng cho từng người với quyền hạn giới hạn (VD: nhân viên chỉ được đăng biển số mới, không được xóa hay đổi giá) — tránh rủi ro khi giao toàn quyền quản trị cho người ngoài.</t>
  </si>
  <si>
    <t>UC21</t>
  </si>
  <si>
    <t>Xác thực OTP qua SMS</t>
  </si>
  <si>
    <t>Thay vì chỉ xác thực qua email (dễ bị bỏ qua), hệ thống gửi mã OTP qua tin nhắn SMS khi khách đăng ký/đăng nhập — tăng độ tin cậy, hạn chế tài khoản ảo, phù hợp thói quen dùng số điện thoại làm định danh chính của người Việt.</t>
  </si>
  <si>
    <t>UC22</t>
  </si>
  <si>
    <t>Dịch vụ tư vấn sang tên / định danh</t>
  </si>
  <si>
    <t>Sau khi mua biển số, nhiều khách bối rối không biết làm thủ tục sang tên/định danh ra sao. Tính năng này cho khách gửi yêu cầu hỗ trợ ngay trên web, admin theo dõi tiến độ hồ sơ từng bước (đã nộp - đang xử lý - hoàn tất) như tra cứu đơn hàng — biến dịch vụ hậu mãi thành lợi thế cạnh tranh.</t>
  </si>
  <si>
    <t>2. THƯỞNG HOÀN THÀNH SỚM / PHẠT TRỄ TIẾN ĐỘ</t>
  </si>
  <si>
    <t>UC23</t>
  </si>
  <si>
    <t>Tra cứu biển số hợp mệnh theo ngày sinh</t>
  </si>
  <si>
    <t>Khách nhập ngày tháng năm sinh, hệ thống tự động tính mệnh ngũ hành (Kim/Mộc/Thủy/Hỏa/Thổ) và gợi ý đầu số, dãy số hợp mệnh nhất cho họ — biến việc chọn biển số từ 'may rủi' thành trải nghiệm cá nhân hóa, đúng insight khách đang tìm biển 'hợp tuổi hợp mệnh' chứ không chỉ đẹp mắt. Tính năng khác biệt hiếm shop nào có, dễ viral khi khách chia sẻ kết quả cho bạn bè.</t>
  </si>
  <si>
    <t>UC24</t>
  </si>
  <si>
    <t>Ký gửi bán biển số của khách hàng</t>
  </si>
  <si>
    <t>Không chỉ bán biển của shop, khách có biển số muốn bán lại có thể tự đăng ký gửi bán qua form trên web (kèm ảnh, giá mong muốn). Admin duyệt trước khi hiển thị công khai. Biến website từ 'cửa hàng một chiều' thành 'chợ biển số hai chiều', tăng số lượng biển hiển thị mà không cần tự nhập hàng, đồng thời shop có thể thu phí trung gian mỗi giao dịch thành công.</t>
  </si>
  <si>
    <t>- Trong vài ngày ân hạn đầu tiên (số ngày quy định ở GiaDinh), sớm/trễ chưa tính thưởng/phạt - tránh tranh cãi vặt do sai số nhỏ.</t>
  </si>
  <si>
    <t>UC25</t>
  </si>
  <si>
    <t>Hệ thống cộng tác viên / môi giới &amp; hoa hồng</t>
  </si>
  <si>
    <t>- Sau thời gian ân hạn: mỗi ngày hoàn thành SỚM hơn mốc đã thống nhất, khách thưởng thêm một tỷ lệ % giá trị hợp đồng (có trần tối đa).</t>
  </si>
  <si>
    <t>Cộng tác viên, Admin</t>
  </si>
  <si>
    <t>Cho phép người ngoài (cộng tác viên, môi giới quen biết khách có nhu cầu) đăng ký làm đối tác giới thiệu, có link/mã riêng để theo dõi. Khi khách qua link đó mua thành công, hệ thống tự động ghi nhận và tính hoa hồng cho cộng tác viên. Cách nhân rộng kênh bán hàng ra ngoài phạm vi 1 shop mà không cần thuê thêm nhân viên sales.</t>
  </si>
  <si>
    <t>TỔNG CHI PHÍ DỰ KIẾN</t>
  </si>
  <si>
    <t>- Mỗi ngày TRỄ hơn mốc đã thống nhất (do lỗi từ phía dev, không tính lý do khách đổi yêu cầu giữa chừng), dev chịu phạt một tỷ lệ % giá trị hợp đồng (có trần tối đa).</t>
  </si>
  <si>
    <t>UC26</t>
  </si>
  <si>
    <t>- Mốc tiến độ và ngày ân hạn nên ghi rõ trong hợp đồng để tránh hiểu nhầm giữa hai bên.</t>
  </si>
  <si>
    <t>Trợ lý AI tư vấn tự động 24/7</t>
  </si>
  <si>
    <t>Một chatbot thông minh (dùng công nghệ AI ngôn ngữ tự nhiên) túc trực trên web để trả lời ngay câu hỏi thường gặp của khách — ý nghĩa biển số này là gì, còn hàng không, giá bao nhiêu, cách đặt cọc ra sao — kể cả ngoài giờ làm việc khi nhân viên chưa kịp phản hồi. Giữ chân khách hàng nóng ngay lúc họ đang quan tâm nhất, thay vì để họ chờ rồi chuyển sang shop khác.</t>
  </si>
  <si>
    <t>TỔNG MAN-DAY — CHỈ TÍNH CÁC UC TRONG MVP</t>
  </si>
  <si>
    <t>Ghi chú:</t>
  </si>
  <si>
    <t>- Gói MVP = các UC cần thiết để vận hành bán biển số ngay (xem cột "Có trong MVP?" ở sheet UC_HeThong). Gói Đầy đủ = MVP + toàn bộ tính năng mở rộng (đấu giá, thanh toán online, blog, dashboard thống kê, đa admin, OTP SMS, dịch vụ sang tên...).</t>
  </si>
  <si>
    <t>- Giá tính trực tiếp theo tổng man-day của từng gói x đơn giá, không quy về gói tháng cố định - thời gian hoàn thành ở trên chỉ là ước tính quy đổi tham khảo.</t>
  </si>
  <si>
    <t>TỔNG MAN-DAY — TOÀN BỘ HỆ THỐNG (MVP + mở rộng)</t>
  </si>
  <si>
    <t>- Gói 2 dev tính giá = 1,75 lần gói 1 dev cùng phạm vi (không phải x2) để phản ánh chi phí phối hợp/quản lý tăng thêm, đổi lại thời gian hoàn thành rút ngắn gần một nửa.</t>
  </si>
  <si>
    <t>Mốc hoàn thành dự kiến (ngày lịch)</t>
  </si>
  <si>
    <t>- Chi phí Dev đã được áp mức chiết khấu 50% so với đơn giá thị trường tham khảo ban đầu (điều chỉnh ở ô "Hệ số chiết khấu chi phí Dev" trong sheet GiaDinh).</t>
  </si>
  <si>
    <t>- Khách hàng đã có domain sẵn - báo giá server chỉ tính chi phí thuê VPS, chưa gồm phí domain.</t>
  </si>
  <si>
    <t>- Chưa bao gồm chi phí duy trì/bảo trì sau bàn giao - có thể chào riêng dạng gói duy trì hàng tháng nếu khách quan tâm.</t>
  </si>
  <si>
    <t>- Toàn bộ đơn giá, man-day và hệ số là ƯỚC TÍNH tham khảo, có thể điều chỉnh ở sheet "GiaDinh" và "UC_HeThong".</t>
  </si>
  <si>
    <t>Tặng thêm mở rộng tính năng lên 75</t>
  </si>
  <si>
    <t>Mức thưởng / ngày sớm (sau ân hạn)</t>
  </si>
  <si>
    <t>Thưởng tối đa (trần)</t>
  </si>
  <si>
    <t>Ví dụ: thưởng nếu sớm (số ngày ví dụ ở GiaDinh)</t>
  </si>
  <si>
    <t>LỘ TRÌNH NÂNG CẤP: MUA MVP TRƯỚC, NÂNG LÊN ĐẦY ĐỦ SAU</t>
  </si>
  <si>
    <t>Áp dụng khi khách chọn làm gói MVP trước, sau một thời gian vận hành mới quyết định mua thêm các tính năng mở rộng (UC13-UC26 ở sheet UC_HeThong) để nâng lên gói Đầy đủ.</t>
  </si>
  <si>
    <t>- Mua thêm phần mở rộng SAU khi MVP đã lên hệ thống thật sẽ mắc hơn mua trọn gói Đầy đủ ngay từ đầu, vì dev phải: đọc lại và hiểu code cũ, tích hợp tính năng mới vào hệ thống đang chạy thật (không được làm hỏng phần đang hoạt động), kiểm thử lại các luồng cũ để đảm bảo không xung đột, và sắp xếp một đợt làm việc riêng thay vì làm liền mạch từ đầu.</t>
  </si>
  <si>
    <t>- Hệ số phụ phí nâng cấp (mặc định +20%) chỉnh được ở sheet GiaDinh.</t>
  </si>
  <si>
    <t>Nâng cấp - 1 dev</t>
  </si>
  <si>
    <t>Nâng cấp - 2 dev</t>
  </si>
  <si>
    <t>Man-day phần mở rộng (Đầy đủ - MVP)</t>
  </si>
  <si>
    <t>Mức phạt / ngày trễ (sau ân hạn)</t>
  </si>
  <si>
    <t>Chi phí phần mở rộng NẾU mua CÙNG lúc (đã gồm trong gói Đầy đủ)</t>
  </si>
  <si>
    <t>Phạt tối đa (trần)</t>
  </si>
  <si>
    <t>Chi phí phần mở rộng NẾU mua SAU (nâng cấp riêng)</t>
  </si>
  <si>
    <t>Ví dụ: phạt nếu trễ (số ngày ví dụ ở GiaDinh)</t>
  </si>
  <si>
    <t>Chênh lệch phải trả THÊM do chọn nâng cấp sau</t>
  </si>
  <si>
    <t>Đặt cọc khi ký hợp đồng nâng cấp</t>
  </si>
  <si>
    <t>Thanh toán khi hoàn tất nâng cấp (còn lại)</t>
  </si>
  <si>
    <t>3. BẢO HÀNH &amp; BẢO TRÌ SAU BÀN GIAO</t>
  </si>
  <si>
    <t>- Bảo hành MIỄN PHÍ trong số ngày quy định ở GiaDinh (mặc định 30 ngày) kể từ ngày bàn giao: sửa mọi lỗi phát sinh từ code đã bàn giao, không tính phí.</t>
  </si>
  <si>
    <t>- Bảo hành không bao gồm: lỗi do khách tự chỉnh sửa code/hosting, lỗi do bên thứ ba (nhà cung cấp server, cổng thanh toán...), hoặc yêu cầu thêm tính năng mới.</t>
  </si>
  <si>
    <t>- Sau thời gian bảo hành, khách có thể chọn 1 trong 2 gói duy trì hàng tháng bên dưới (không bắt buộc), hoặc thuê xử lý theo vụ việc khi cần.</t>
  </si>
  <si>
    <t>Gói Cơ bản</t>
  </si>
  <si>
    <t>Gói Nâng cao</t>
  </si>
  <si>
    <t>SO SÁNH TỔNG CHI PHÍ: MUA ĐẦY ĐỦ NGAY vs MUA MVP RỒI NÂNG CẤP SAU</t>
  </si>
  <si>
    <t>Phí / tháng</t>
  </si>
  <si>
    <t>Tổng nếu mua gói Đầy đủ NGAY từ đầu</t>
  </si>
  <si>
    <t>Theo dõi &amp; giám sát server</t>
  </si>
  <si>
    <t>Vá lỗi nhỏ phát sinh</t>
  </si>
  <si>
    <t>Tổng nếu mua MVP trước rồi NÂNG CẤP sau (MVP + phần mở rộng mua sau)</t>
  </si>
  <si>
    <t>Cập nhật bảo mật định kỳ</t>
  </si>
  <si>
    <t>Thời gian phản hồi khi có sự cố</t>
  </si>
  <si>
    <t>2-3 ngày làm việc</t>
  </si>
  <si>
    <t>Trong 24 giờ (ưu tiên)</t>
  </si>
  <si>
    <t>Thay đổi/chỉnh sửa nhỏ mỗi tháng</t>
  </si>
  <si>
    <t>Không gồm (báo giá riêng)</t>
  </si>
  <si>
    <t>Tối đa 1 thay đổi nhỏ/tháng</t>
  </si>
  <si>
    <t>Phát triển tính năng mới</t>
  </si>
  <si>
    <t>Báo giá riêng theo scope</t>
  </si>
  <si>
    <t>Số tiền phát sinh thêm nếu chọn mua MVP trước rồi mới nâng cấp</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</si>
</sst>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đ"/>
    <numFmt numFmtId="165" formatCode="0.0"/>
    <numFmt numFmtId="166" formatCode="0.0%"/>
    <numFmt numFmtId="167" formatCode="0.0&quot; tuần&quot;"/>
    <numFmt numFmtId="168" formatCode="0&quot; ngày&quot;"/>
  </numFmts>
  <fonts count="20">
    <font>
      <sz val="11.0"/>
      <color theme="1"/>
      <name val="Calibri"/>
      <scheme val="minor"/>
    </font>
    <font>
      <b/>
      <sz val="14.0"/>
      <color rgb="FFFFFFFF"/>
      <name val="Arial"/>
    </font>
    <font/>
    <font>
      <b/>
      <sz val="15.0"/>
      <color rgb="FFFFFFFF"/>
      <name val="Arial"/>
    </font>
    <font>
      <i/>
      <sz val="9.0"/>
      <color rgb="FF444444"/>
      <name val="Arial"/>
    </font>
    <font>
      <i/>
      <sz val="9.0"/>
      <color rgb="FF666666"/>
      <name val="Arial"/>
    </font>
    <font>
      <b/>
      <sz val="11.0"/>
      <color rgb="FFFFFFFF"/>
      <name val="Arial"/>
    </font>
    <font>
      <b/>
      <sz val="10.0"/>
      <color rgb="FF000000"/>
      <name val="Arial"/>
    </font>
    <font>
      <color theme="1"/>
      <name val="Arial"/>
    </font>
    <font>
      <sz val="10.0"/>
      <color rgb="FF000000"/>
      <name val="Arial"/>
    </font>
    <font>
      <b/>
      <color rgb="FF0000FF"/>
      <name val="Arial"/>
    </font>
    <font>
      <sz val="9.0"/>
      <color theme="1"/>
      <name val="Arial"/>
    </font>
    <font>
      <b/>
      <sz val="10.0"/>
      <color rgb="FF0000FF"/>
      <name val="Arial"/>
    </font>
    <font>
      <sz val="9.0"/>
      <color rgb="FF000000"/>
      <name val="Arial"/>
    </font>
    <font>
      <color theme="1"/>
      <name val="Calibri"/>
      <scheme val="minor"/>
    </font>
    <font>
      <i/>
      <sz val="9.0"/>
      <color rgb="FF333333"/>
      <name val="Arial"/>
    </font>
    <font>
      <b/>
      <sz val="11.0"/>
      <color rgb="FF000000"/>
      <name val="Arial"/>
    </font>
    <font>
      <b/>
      <sz val="10.0"/>
      <color theme="1"/>
      <name val="Arial"/>
    </font>
    <font>
      <i/>
      <sz val="9.0"/>
      <color rgb="FF555555"/>
      <name val="Arial"/>
    </font>
    <font>
      <i/>
      <sz val="10.0"/>
      <color rgb="FF000000"/>
      <name val="Arial"/>
    </font>
  </fonts>
  <fills count="7">
    <fill>
      <patternFill patternType="none"/>
    </fill>
    <fill>
      <patternFill patternType="lightGray"/>
    </fill>
    <fill>
      <patternFill patternType="solid">
        <fgColor rgb="FF1F3864"/>
        <bgColor rgb="FF1F3864"/>
      </patternFill>
    </fill>
    <fill>
      <patternFill patternType="solid">
        <fgColor rgb="FFFFFF00"/>
        <bgColor rgb="FFFFFF00"/>
      </patternFill>
    </fill>
    <fill>
      <patternFill patternType="solid">
        <fgColor rgb="FFDCE6F1"/>
        <bgColor rgb="FFDCE6F1"/>
      </patternFill>
    </fill>
    <fill>
      <patternFill patternType="solid">
        <fgColor rgb="FFE2EFDA"/>
        <bgColor rgb="FFE2EFDA"/>
      </patternFill>
    </fill>
    <fill>
      <patternFill patternType="solid">
        <fgColor rgb="FFFCE4D6"/>
        <bgColor rgb="FFFCE4D6"/>
      </patternFill>
    </fill>
  </fills>
  <borders count="5">
    <border/>
    <border>
      <left style="thin">
        <color rgb="FFB7B7B7"/>
      </left>
      <top style="thin">
        <color rgb="FFB7B7B7"/>
      </top>
      <bottom style="thin">
        <color rgb="FFB7B7B7"/>
      </bottom>
    </border>
    <border>
      <top style="thin">
        <color rgb="FFB7B7B7"/>
      </top>
      <bottom style="thin">
        <color rgb="FFB7B7B7"/>
      </bottom>
    </border>
    <border>
      <right/>
      <top style="thin">
        <color rgb="FFB7B7B7"/>
      </top>
      <bottom style="thin">
        <color rgb="FFB7B7B7"/>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1" fillId="2" fontId="3" numFmtId="0" xfId="0" applyAlignment="1" applyBorder="1" applyFill="1" applyFont="1">
      <alignment horizontal="left" shrinkToFit="0" vertical="center" wrapText="1"/>
    </xf>
    <xf borderId="3" fillId="0" fontId="2" numFmtId="0" xfId="0" applyBorder="1" applyFont="1"/>
    <xf borderId="0" fillId="0" fontId="4" numFmtId="0" xfId="0" applyAlignment="1" applyFont="1">
      <alignment shrinkToFit="0" vertical="bottom" wrapText="0"/>
    </xf>
    <xf borderId="0" fillId="0" fontId="5" numFmtId="0" xfId="0" applyAlignment="1" applyFont="1">
      <alignment shrinkToFit="0" vertical="bottom" wrapText="1"/>
    </xf>
    <xf borderId="0" fillId="0" fontId="5" numFmtId="0" xfId="0" applyAlignment="1" applyFont="1">
      <alignment shrinkToFit="0" vertical="bottom" wrapText="0"/>
    </xf>
    <xf borderId="4" fillId="2" fontId="6" numFmtId="0" xfId="0" applyAlignment="1" applyBorder="1" applyFill="1" applyFont="1">
      <alignment horizontal="center" shrinkToFit="0" vertical="center" wrapText="1"/>
    </xf>
    <xf borderId="4" fillId="0" fontId="7" numFmtId="0" xfId="0" applyAlignment="1" applyBorder="1" applyFont="1">
      <alignment horizontal="left" shrinkToFit="0" vertical="center" wrapText="1"/>
    </xf>
    <xf borderId="4" fillId="0" fontId="8" numFmtId="0" xfId="0" applyAlignment="1" applyBorder="1" applyFont="1">
      <alignment shrinkToFit="0" wrapText="1"/>
    </xf>
    <xf borderId="4" fillId="0" fontId="9" numFmtId="0" xfId="0" applyAlignment="1" applyBorder="1" applyFont="1">
      <alignment horizontal="left" shrinkToFit="0" vertical="center" wrapText="1"/>
    </xf>
    <xf borderId="4" fillId="2" fontId="6" numFmtId="0" xfId="0" applyAlignment="1" applyBorder="1" applyFill="1" applyFont="1">
      <alignment horizontal="center" readingOrder="0" shrinkToFit="0" vertical="center" wrapText="1"/>
    </xf>
    <xf borderId="4" fillId="3" fontId="10" numFmtId="164" xfId="0" applyAlignment="1" applyBorder="1" applyFill="1" applyFont="1" applyNumberFormat="1">
      <alignment horizontal="right" readingOrder="0" shrinkToFit="0" wrapText="1"/>
    </xf>
    <xf borderId="4" fillId="0" fontId="8" numFmtId="0" xfId="0" applyAlignment="1" applyBorder="1" applyFont="1">
      <alignment horizontal="center" shrinkToFit="0" wrapText="1"/>
    </xf>
    <xf borderId="1" fillId="4" fontId="7" numFmtId="0" xfId="0" applyAlignment="1" applyBorder="1" applyFill="1" applyFont="1">
      <alignment horizontal="left" shrinkToFit="0" vertical="center" wrapText="1"/>
    </xf>
    <xf borderId="4" fillId="0" fontId="11" numFmtId="0" xfId="0" applyAlignment="1" applyBorder="1" applyFont="1">
      <alignment shrinkToFit="0" wrapText="1"/>
    </xf>
    <xf borderId="4" fillId="3" fontId="12" numFmtId="2" xfId="0" applyAlignment="1" applyBorder="1" applyFill="1" applyFont="1" applyNumberFormat="1">
      <alignment horizontal="right" shrinkToFit="0" vertical="center" wrapText="1"/>
    </xf>
    <xf borderId="4" fillId="0" fontId="9" numFmtId="0" xfId="0" applyAlignment="1" applyBorder="1" applyFont="1">
      <alignment horizontal="center" shrinkToFit="0" vertical="center" wrapText="1"/>
    </xf>
    <xf borderId="4" fillId="0" fontId="13" numFmtId="0" xfId="0" applyAlignment="1" applyBorder="1" applyFont="1">
      <alignment horizontal="left" shrinkToFit="0" vertical="center" wrapText="1"/>
    </xf>
    <xf borderId="4" fillId="0" fontId="9" numFmtId="165" xfId="0" applyAlignment="1" applyBorder="1" applyFont="1" applyNumberFormat="1">
      <alignment horizontal="center" shrinkToFit="0" vertical="center" wrapText="1"/>
    </xf>
    <xf borderId="4" fillId="3" fontId="12" numFmtId="2" xfId="0" applyAlignment="1" applyBorder="1" applyFill="1" applyFont="1" applyNumberFormat="1">
      <alignment horizontal="right" readingOrder="0" shrinkToFit="0" vertical="center" wrapText="1"/>
    </xf>
    <xf borderId="4" fillId="0" fontId="7" numFmtId="165" xfId="0" applyAlignment="1" applyBorder="1" applyFont="1" applyNumberFormat="1">
      <alignment horizontal="center" shrinkToFit="0" vertical="center" wrapText="1"/>
    </xf>
    <xf borderId="4" fillId="5" fontId="7" numFmtId="0" xfId="0" applyAlignment="1" applyBorder="1" applyFill="1" applyFont="1">
      <alignment horizontal="center" shrinkToFit="0" vertical="center" wrapText="1"/>
    </xf>
    <xf borderId="4" fillId="3" fontId="12" numFmtId="164" xfId="0" applyAlignment="1" applyBorder="1" applyFill="1" applyFont="1" applyNumberFormat="1">
      <alignment horizontal="right" shrinkToFit="0" vertical="center" wrapText="1"/>
    </xf>
    <xf borderId="0" fillId="0" fontId="14" numFmtId="0" xfId="0" applyFont="1"/>
    <xf borderId="4" fillId="3" fontId="12" numFmtId="1" xfId="0" applyAlignment="1" applyBorder="1" applyFill="1" applyFont="1" applyNumberFormat="1">
      <alignment horizontal="right" shrinkToFit="0" vertical="center" wrapText="1"/>
    </xf>
    <xf borderId="4" fillId="0" fontId="7" numFmtId="165" xfId="0" applyAlignment="1" applyBorder="1" applyFont="1" applyNumberFormat="1">
      <alignment horizontal="center" readingOrder="0" shrinkToFit="0" vertical="center" wrapText="1"/>
    </xf>
    <xf borderId="4" fillId="3" fontId="12" numFmtId="166" xfId="0" applyAlignment="1" applyBorder="1" applyFill="1" applyFont="1" applyNumberFormat="1">
      <alignment horizontal="right" shrinkToFit="0" vertical="center" wrapText="1"/>
    </xf>
    <xf borderId="0" fillId="0" fontId="14" numFmtId="0" xfId="0" applyAlignment="1" applyFont="1">
      <alignment readingOrder="0"/>
    </xf>
    <xf borderId="4" fillId="3" fontId="12" numFmtId="166" xfId="0" applyAlignment="1" applyBorder="1" applyFill="1" applyFont="1" applyNumberFormat="1">
      <alignment horizontal="right" readingOrder="0" shrinkToFit="0" vertical="center" wrapText="1"/>
    </xf>
    <xf borderId="1" fillId="2" fontId="6" numFmtId="0" xfId="0" applyAlignment="1" applyBorder="1" applyFill="1" applyFont="1">
      <alignment horizontal="left" shrinkToFit="0" vertical="center" wrapText="1"/>
    </xf>
    <xf borderId="4" fillId="0" fontId="13" numFmtId="0" xfId="0" applyAlignment="1" applyBorder="1" applyFont="1">
      <alignment horizontal="left" readingOrder="0" shrinkToFit="0" vertical="center" wrapText="1"/>
    </xf>
    <xf borderId="0" fillId="0" fontId="15" numFmtId="0" xfId="0" applyAlignment="1" applyFont="1">
      <alignment shrinkToFit="0" vertical="top" wrapText="1"/>
    </xf>
    <xf borderId="4" fillId="0" fontId="9" numFmtId="167" xfId="0" applyAlignment="1" applyBorder="1" applyFont="1" applyNumberFormat="1">
      <alignment horizontal="center" shrinkToFit="0" vertical="center" wrapText="1"/>
    </xf>
    <xf borderId="4" fillId="0" fontId="9" numFmtId="164" xfId="0" applyAlignment="1" applyBorder="1" applyFont="1" applyNumberFormat="1">
      <alignment horizontal="right" shrinkToFit="0" vertical="center" wrapText="1"/>
    </xf>
    <xf borderId="4" fillId="5" fontId="9" numFmtId="164" xfId="0" applyAlignment="1" applyBorder="1" applyFill="1" applyFont="1" applyNumberFormat="1">
      <alignment horizontal="right" shrinkToFit="0" vertical="center" wrapText="1"/>
    </xf>
    <xf borderId="4" fillId="6" fontId="7" numFmtId="0" xfId="0" applyAlignment="1" applyBorder="1" applyFill="1" applyFont="1">
      <alignment horizontal="center" shrinkToFit="0" vertical="center" wrapText="1"/>
    </xf>
    <xf borderId="4" fillId="6" fontId="9" numFmtId="164" xfId="0" applyAlignment="1" applyBorder="1" applyFill="1" applyFont="1" applyNumberFormat="1">
      <alignment horizontal="right" shrinkToFit="0" vertical="center" wrapText="1"/>
    </xf>
    <xf borderId="4" fillId="4" fontId="16" numFmtId="0" xfId="0" applyAlignment="1" applyBorder="1" applyFill="1" applyFont="1">
      <alignment horizontal="left" shrinkToFit="0" vertical="center" wrapText="1"/>
    </xf>
    <xf borderId="4" fillId="4" fontId="16" numFmtId="164" xfId="0" applyAlignment="1" applyBorder="1" applyFill="1" applyFont="1" applyNumberFormat="1">
      <alignment horizontal="right" shrinkToFit="0" vertical="center" wrapText="1"/>
    </xf>
    <xf borderId="1" fillId="5" fontId="16" numFmtId="0" xfId="0" applyAlignment="1" applyBorder="1" applyFill="1" applyFont="1">
      <alignment horizontal="left" shrinkToFit="0" vertical="center" wrapText="1"/>
    </xf>
    <xf borderId="0" fillId="0" fontId="17" numFmtId="0" xfId="0" applyAlignment="1" applyFont="1">
      <alignment shrinkToFit="0" vertical="bottom" wrapText="0"/>
    </xf>
    <xf borderId="0" fillId="0" fontId="18" numFmtId="0" xfId="0" applyAlignment="1" applyFont="1">
      <alignment shrinkToFit="0" vertical="top" wrapText="1"/>
    </xf>
    <xf borderId="4" fillId="5" fontId="16" numFmtId="165" xfId="0" applyAlignment="1" applyBorder="1" applyFill="1" applyFont="1" applyNumberFormat="1">
      <alignment horizontal="center" shrinkToFit="0" vertical="center" wrapText="1"/>
    </xf>
    <xf borderId="1" fillId="4" fontId="16" numFmtId="0" xfId="0" applyAlignment="1" applyBorder="1" applyFill="1" applyFont="1">
      <alignment horizontal="left" shrinkToFit="0" vertical="center" wrapText="1"/>
    </xf>
    <xf borderId="4" fillId="0" fontId="9" numFmtId="168" xfId="0" applyAlignment="1" applyBorder="1" applyFont="1" applyNumberFormat="1">
      <alignment horizontal="center" shrinkToFit="0" vertical="center" wrapText="1"/>
    </xf>
    <xf borderId="4" fillId="4" fontId="16" numFmtId="165" xfId="0" applyAlignment="1" applyBorder="1" applyFill="1" applyFont="1" applyNumberFormat="1">
      <alignment horizontal="center" shrinkToFit="0" vertical="center" wrapText="1"/>
    </xf>
    <xf borderId="4" fillId="0" fontId="19" numFmtId="0" xfId="0" applyAlignment="1" applyBorder="1" applyFont="1">
      <alignment horizontal="left" shrinkToFit="0" vertical="center" wrapText="1"/>
    </xf>
    <xf borderId="4" fillId="5" fontId="19" numFmtId="164" xfId="0" applyAlignment="1" applyBorder="1" applyFill="1" applyFont="1" applyNumberFormat="1">
      <alignment horizontal="right" shrinkToFit="0" vertical="center" wrapText="1"/>
    </xf>
    <xf borderId="4" fillId="6" fontId="19" numFmtId="164" xfId="0" applyAlignment="1" applyBorder="1" applyFill="1" applyFont="1" applyNumberFormat="1">
      <alignment horizontal="right" shrinkToFit="0" vertical="center" wrapText="1"/>
    </xf>
    <xf borderId="4" fillId="0" fontId="19" numFmtId="164" xfId="0" applyAlignment="1" applyBorder="1" applyFont="1" applyNumberFormat="1">
      <alignment horizontal="right" shrinkToFit="0" vertical="center" wrapText="1"/>
    </xf>
    <xf borderId="4" fillId="0" fontId="9" numFmtId="164" xfId="0" applyAlignment="1" applyBorder="1" applyFont="1" applyNumberFormat="1">
      <alignment horizontal="center" shrinkToFit="0" vertical="center" wrapText="1"/>
    </xf>
    <xf borderId="4" fillId="4" fontId="7" numFmtId="0" xfId="0" applyAlignment="1" applyBorder="1" applyFill="1" applyFont="1">
      <alignment horizontal="left" shrinkToFit="0" vertical="center" wrapText="1"/>
    </xf>
    <xf borderId="4" fillId="4" fontId="7" numFmtId="164" xfId="0" applyAlignment="1" applyBorder="1" applyFill="1" applyFont="1" applyNumberFormat="1">
      <alignment horizontal="righ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0"/>
    <col customWidth="1" min="2" max="2" width="9.0"/>
    <col customWidth="1" min="3" max="3" width="30.0"/>
    <col customWidth="1" min="4" max="4" width="20.0"/>
    <col customWidth="1" min="5" max="5" width="55.0"/>
    <col customWidth="1" min="6" max="6" width="11.0"/>
    <col customWidth="1" min="7" max="7" width="27.0"/>
    <col customWidth="1" min="8" max="26" width="8.71"/>
  </cols>
  <sheetData>
    <row r="1" ht="24.0" customHeight="1">
      <c r="A1" s="1" t="s">
        <v>1</v>
      </c>
      <c r="B1" s="2"/>
      <c r="C1" s="2"/>
      <c r="D1" s="2"/>
      <c r="E1" s="2"/>
      <c r="F1" s="2"/>
      <c r="G1" s="4"/>
    </row>
    <row r="2" ht="27.75" customHeight="1">
      <c r="A2" s="6" t="s">
        <v>4</v>
      </c>
    </row>
    <row r="4" ht="21.75" customHeight="1">
      <c r="A4" s="8" t="s">
        <v>7</v>
      </c>
      <c r="B4" s="8" t="s">
        <v>8</v>
      </c>
      <c r="C4" s="8" t="s">
        <v>11</v>
      </c>
      <c r="D4" s="8" t="s">
        <v>12</v>
      </c>
      <c r="E4" s="8" t="s">
        <v>15</v>
      </c>
      <c r="F4" s="8" t="s">
        <v>19</v>
      </c>
      <c r="G4" s="8" t="s">
        <v>22</v>
      </c>
      <c r="H4" s="12" t="s">
        <v>25</v>
      </c>
    </row>
    <row r="5" ht="15.0" customHeight="1">
      <c r="A5" s="15" t="s">
        <v>30</v>
      </c>
      <c r="B5" s="2"/>
      <c r="C5" s="2"/>
      <c r="D5" s="2"/>
      <c r="E5" s="2"/>
      <c r="F5" s="2"/>
      <c r="G5" s="4"/>
    </row>
    <row r="6" ht="45.75" customHeight="1">
      <c r="A6" s="18">
        <v>1.0</v>
      </c>
      <c r="B6" s="11" t="s">
        <v>35</v>
      </c>
      <c r="C6" s="11" t="s">
        <v>37</v>
      </c>
      <c r="D6" s="11" t="s">
        <v>38</v>
      </c>
      <c r="E6" s="11" t="s">
        <v>39</v>
      </c>
      <c r="F6" s="22">
        <v>3.5</v>
      </c>
      <c r="G6" s="23" t="s">
        <v>42</v>
      </c>
      <c r="H6" s="25" t="b">
        <v>0</v>
      </c>
    </row>
    <row r="7" ht="45.75" customHeight="1">
      <c r="A7" s="18">
        <v>2.0</v>
      </c>
      <c r="B7" s="11" t="s">
        <v>47</v>
      </c>
      <c r="C7" s="11" t="s">
        <v>49</v>
      </c>
      <c r="D7" s="11" t="s">
        <v>38</v>
      </c>
      <c r="E7" s="11" t="s">
        <v>51</v>
      </c>
      <c r="F7" s="22">
        <v>1.5</v>
      </c>
      <c r="G7" s="23" t="s">
        <v>42</v>
      </c>
      <c r="H7" s="25" t="b">
        <v>0</v>
      </c>
    </row>
    <row r="8" ht="45.75" customHeight="1">
      <c r="A8" s="18">
        <v>3.0</v>
      </c>
      <c r="B8" s="11" t="s">
        <v>55</v>
      </c>
      <c r="C8" s="11" t="s">
        <v>56</v>
      </c>
      <c r="D8" s="11" t="s">
        <v>57</v>
      </c>
      <c r="E8" s="11" t="s">
        <v>58</v>
      </c>
      <c r="F8" s="22">
        <v>3.0</v>
      </c>
      <c r="G8" s="23" t="s">
        <v>42</v>
      </c>
      <c r="H8" s="25" t="b">
        <v>0</v>
      </c>
    </row>
    <row r="9" ht="45.75" customHeight="1">
      <c r="A9" s="18">
        <v>4.0</v>
      </c>
      <c r="B9" s="11" t="s">
        <v>59</v>
      </c>
      <c r="C9" s="11" t="s">
        <v>60</v>
      </c>
      <c r="D9" s="11" t="s">
        <v>57</v>
      </c>
      <c r="E9" s="11" t="s">
        <v>62</v>
      </c>
      <c r="F9" s="27" t="s">
        <v>64</v>
      </c>
      <c r="G9" s="23" t="s">
        <v>42</v>
      </c>
      <c r="H9" s="25" t="b">
        <v>0</v>
      </c>
    </row>
    <row r="10" ht="45.75" customHeight="1">
      <c r="A10" s="18">
        <v>5.0</v>
      </c>
      <c r="B10" s="11" t="s">
        <v>68</v>
      </c>
      <c r="C10" s="11" t="s">
        <v>69</v>
      </c>
      <c r="D10" s="11" t="s">
        <v>38</v>
      </c>
      <c r="E10" s="11" t="s">
        <v>71</v>
      </c>
      <c r="F10" s="22">
        <v>0.5</v>
      </c>
      <c r="G10" s="23" t="s">
        <v>42</v>
      </c>
      <c r="H10" s="25" t="b">
        <v>0</v>
      </c>
    </row>
    <row r="11" ht="45.75" customHeight="1">
      <c r="A11" s="18">
        <v>6.0</v>
      </c>
      <c r="B11" s="11" t="s">
        <v>78</v>
      </c>
      <c r="C11" s="11" t="s">
        <v>79</v>
      </c>
      <c r="D11" s="11" t="s">
        <v>38</v>
      </c>
      <c r="E11" s="11" t="s">
        <v>80</v>
      </c>
      <c r="F11" s="22">
        <v>0.5</v>
      </c>
      <c r="G11" s="23" t="s">
        <v>42</v>
      </c>
      <c r="H11" s="25" t="b">
        <v>0</v>
      </c>
    </row>
    <row r="12" ht="45.75" customHeight="1">
      <c r="A12" s="18">
        <v>7.0</v>
      </c>
      <c r="B12" s="11" t="s">
        <v>82</v>
      </c>
      <c r="C12" s="11" t="s">
        <v>83</v>
      </c>
      <c r="D12" s="11" t="s">
        <v>38</v>
      </c>
      <c r="E12" s="11" t="s">
        <v>85</v>
      </c>
      <c r="F12" s="22">
        <v>1.5</v>
      </c>
      <c r="G12" s="23" t="s">
        <v>42</v>
      </c>
      <c r="H12" s="25" t="b">
        <v>0</v>
      </c>
      <c r="K12" s="29" t="s">
        <v>89</v>
      </c>
    </row>
    <row r="14" ht="15.0" customHeight="1">
      <c r="A14" s="15" t="s">
        <v>93</v>
      </c>
      <c r="B14" s="2"/>
      <c r="C14" s="2"/>
      <c r="D14" s="2"/>
      <c r="E14" s="2"/>
      <c r="F14" s="2"/>
      <c r="G14" s="4"/>
      <c r="H14" s="25" t="b">
        <v>0</v>
      </c>
    </row>
    <row r="15" ht="45.75" customHeight="1">
      <c r="A15" s="18">
        <v>8.0</v>
      </c>
      <c r="B15" s="11" t="s">
        <v>99</v>
      </c>
      <c r="C15" s="11" t="s">
        <v>100</v>
      </c>
      <c r="D15" s="11" t="s">
        <v>101</v>
      </c>
      <c r="E15" s="11" t="s">
        <v>104</v>
      </c>
      <c r="F15" s="22">
        <v>1.0</v>
      </c>
      <c r="G15" s="23" t="s">
        <v>42</v>
      </c>
      <c r="H15" s="25" t="b">
        <v>0</v>
      </c>
    </row>
    <row r="16" ht="45.75" customHeight="1">
      <c r="A16" s="18">
        <v>9.0</v>
      </c>
      <c r="B16" s="11" t="s">
        <v>108</v>
      </c>
      <c r="C16" s="11" t="s">
        <v>110</v>
      </c>
      <c r="D16" s="11" t="s">
        <v>101</v>
      </c>
      <c r="E16" s="11" t="s">
        <v>112</v>
      </c>
      <c r="F16" s="27">
        <v>2.0</v>
      </c>
      <c r="G16" s="23" t="s">
        <v>42</v>
      </c>
      <c r="H16" s="25" t="b">
        <v>0</v>
      </c>
    </row>
    <row r="17" ht="45.75" customHeight="1">
      <c r="A17" s="18">
        <v>10.0</v>
      </c>
      <c r="B17" s="11" t="s">
        <v>115</v>
      </c>
      <c r="C17" s="11" t="s">
        <v>116</v>
      </c>
      <c r="D17" s="11" t="s">
        <v>101</v>
      </c>
      <c r="E17" s="11" t="s">
        <v>117</v>
      </c>
      <c r="F17" s="22">
        <v>2.0</v>
      </c>
      <c r="G17" s="23" t="s">
        <v>42</v>
      </c>
      <c r="H17" s="25" t="b">
        <v>0</v>
      </c>
    </row>
    <row r="18" ht="45.75" customHeight="1">
      <c r="A18" s="18">
        <v>11.0</v>
      </c>
      <c r="B18" s="11" t="s">
        <v>118</v>
      </c>
      <c r="C18" s="11" t="s">
        <v>119</v>
      </c>
      <c r="D18" s="11" t="s">
        <v>101</v>
      </c>
      <c r="E18" s="11" t="s">
        <v>120</v>
      </c>
      <c r="F18" s="22">
        <v>2.0</v>
      </c>
      <c r="G18" s="23" t="s">
        <v>42</v>
      </c>
      <c r="H18" s="25" t="b">
        <v>0</v>
      </c>
      <c r="K18" s="29" t="s">
        <v>121</v>
      </c>
    </row>
    <row r="19" ht="45.75" customHeight="1">
      <c r="A19" s="18">
        <v>12.0</v>
      </c>
      <c r="B19" s="11" t="s">
        <v>122</v>
      </c>
      <c r="C19" s="11" t="s">
        <v>123</v>
      </c>
      <c r="D19" s="11" t="s">
        <v>101</v>
      </c>
      <c r="E19" s="11" t="s">
        <v>124</v>
      </c>
      <c r="F19" s="22">
        <v>1.5</v>
      </c>
      <c r="G19" s="23" t="s">
        <v>42</v>
      </c>
      <c r="H19" s="25" t="b">
        <v>0</v>
      </c>
      <c r="K19" s="29" t="s">
        <v>125</v>
      </c>
    </row>
    <row r="21" ht="15.0" customHeight="1">
      <c r="A21" s="15" t="s">
        <v>126</v>
      </c>
      <c r="B21" s="2"/>
      <c r="C21" s="2"/>
      <c r="D21" s="2"/>
      <c r="E21" s="2"/>
      <c r="F21" s="2"/>
      <c r="G21" s="4"/>
      <c r="H21" s="25" t="b">
        <v>0</v>
      </c>
    </row>
    <row r="22" ht="45.75" customHeight="1">
      <c r="A22" s="18">
        <v>13.0</v>
      </c>
      <c r="B22" s="11" t="s">
        <v>128</v>
      </c>
      <c r="C22" s="11" t="s">
        <v>130</v>
      </c>
      <c r="D22" s="11" t="s">
        <v>131</v>
      </c>
      <c r="E22" s="11" t="s">
        <v>132</v>
      </c>
      <c r="F22" s="22">
        <v>2.0</v>
      </c>
      <c r="G22" s="23" t="s">
        <v>42</v>
      </c>
      <c r="H22" s="25" t="b">
        <v>0</v>
      </c>
    </row>
    <row r="23" ht="45.75" customHeight="1">
      <c r="A23" s="18">
        <v>14.0</v>
      </c>
      <c r="B23" s="11" t="s">
        <v>133</v>
      </c>
      <c r="C23" s="11" t="s">
        <v>134</v>
      </c>
      <c r="D23" s="11" t="s">
        <v>131</v>
      </c>
      <c r="E23" s="11" t="s">
        <v>135</v>
      </c>
      <c r="F23" s="22">
        <v>1.0</v>
      </c>
      <c r="G23" s="23" t="s">
        <v>42</v>
      </c>
      <c r="H23" s="25" t="b">
        <v>0</v>
      </c>
    </row>
    <row r="24" ht="45.75" customHeight="1">
      <c r="A24" s="18">
        <v>15.0</v>
      </c>
      <c r="B24" s="11" t="s">
        <v>136</v>
      </c>
      <c r="C24" s="11" t="s">
        <v>137</v>
      </c>
      <c r="D24" s="11" t="s">
        <v>131</v>
      </c>
      <c r="E24" s="11" t="s">
        <v>138</v>
      </c>
      <c r="F24" s="22">
        <v>1.0</v>
      </c>
      <c r="G24" s="23" t="s">
        <v>42</v>
      </c>
      <c r="H24" s="25" t="b">
        <v>0</v>
      </c>
      <c r="I24" s="29" t="s">
        <v>139</v>
      </c>
    </row>
    <row r="25" ht="15.75" customHeight="1">
      <c r="H25" s="25" t="b">
        <v>0</v>
      </c>
    </row>
    <row r="26" ht="15.0" customHeight="1">
      <c r="A26" s="15" t="s">
        <v>140</v>
      </c>
      <c r="B26" s="2"/>
      <c r="C26" s="2"/>
      <c r="D26" s="2"/>
      <c r="E26" s="2"/>
      <c r="F26" s="2"/>
      <c r="G26" s="4"/>
      <c r="H26" s="25" t="b">
        <v>0</v>
      </c>
    </row>
    <row r="27" ht="45.75" customHeight="1">
      <c r="A27" s="18">
        <v>16.0</v>
      </c>
      <c r="B27" s="11" t="s">
        <v>141</v>
      </c>
      <c r="C27" s="11" t="s">
        <v>142</v>
      </c>
      <c r="D27" s="11" t="s">
        <v>143</v>
      </c>
      <c r="E27" s="11" t="s">
        <v>144</v>
      </c>
      <c r="F27" s="22">
        <v>6.0</v>
      </c>
      <c r="G27" s="37" t="s">
        <v>145</v>
      </c>
      <c r="H27" s="25" t="b">
        <v>0</v>
      </c>
    </row>
    <row r="28" ht="45.75" customHeight="1">
      <c r="A28" s="18">
        <v>17.0</v>
      </c>
      <c r="B28" s="11" t="s">
        <v>147</v>
      </c>
      <c r="C28" s="11" t="s">
        <v>148</v>
      </c>
      <c r="D28" s="11" t="s">
        <v>57</v>
      </c>
      <c r="E28" s="11" t="s">
        <v>149</v>
      </c>
      <c r="F28" s="22">
        <v>3.0</v>
      </c>
      <c r="G28" s="37" t="s">
        <v>145</v>
      </c>
      <c r="H28" s="25" t="b">
        <v>0</v>
      </c>
    </row>
    <row r="29" ht="45.75" customHeight="1">
      <c r="A29" s="18">
        <v>18.0</v>
      </c>
      <c r="B29" s="11" t="s">
        <v>150</v>
      </c>
      <c r="C29" s="11" t="s">
        <v>151</v>
      </c>
      <c r="D29" s="11" t="s">
        <v>143</v>
      </c>
      <c r="E29" s="11" t="s">
        <v>152</v>
      </c>
      <c r="F29" s="22">
        <v>2.0</v>
      </c>
      <c r="G29" s="37" t="s">
        <v>145</v>
      </c>
      <c r="H29" s="25" t="b">
        <v>0</v>
      </c>
    </row>
    <row r="30" ht="45.75" customHeight="1">
      <c r="A30" s="18">
        <v>19.0</v>
      </c>
      <c r="B30" s="11" t="s">
        <v>153</v>
      </c>
      <c r="C30" s="11" t="s">
        <v>154</v>
      </c>
      <c r="D30" s="11" t="s">
        <v>57</v>
      </c>
      <c r="E30" s="11" t="s">
        <v>155</v>
      </c>
      <c r="F30" s="22">
        <v>1.5</v>
      </c>
      <c r="G30" s="37" t="s">
        <v>145</v>
      </c>
      <c r="H30" s="25" t="b">
        <v>0</v>
      </c>
    </row>
    <row r="31" ht="45.75" customHeight="1">
      <c r="A31" s="18">
        <v>20.0</v>
      </c>
      <c r="B31" s="11" t="s">
        <v>157</v>
      </c>
      <c r="C31" s="11" t="s">
        <v>158</v>
      </c>
      <c r="D31" s="11" t="s">
        <v>57</v>
      </c>
      <c r="E31" s="11" t="s">
        <v>159</v>
      </c>
      <c r="F31" s="22">
        <v>2.0</v>
      </c>
      <c r="G31" s="37" t="s">
        <v>145</v>
      </c>
      <c r="H31" s="25" t="b">
        <v>0</v>
      </c>
    </row>
    <row r="32" ht="45.75" customHeight="1">
      <c r="A32" s="18">
        <v>21.0</v>
      </c>
      <c r="B32" s="11" t="s">
        <v>160</v>
      </c>
      <c r="C32" s="11" t="s">
        <v>161</v>
      </c>
      <c r="D32" s="11" t="s">
        <v>162</v>
      </c>
      <c r="E32" s="11" t="s">
        <v>163</v>
      </c>
      <c r="F32" s="22">
        <v>3.0</v>
      </c>
      <c r="G32" s="37" t="s">
        <v>145</v>
      </c>
      <c r="H32" s="25" t="b">
        <v>0</v>
      </c>
    </row>
    <row r="33" ht="45.75" customHeight="1">
      <c r="A33" s="18">
        <v>22.0</v>
      </c>
      <c r="B33" s="11" t="s">
        <v>164</v>
      </c>
      <c r="C33" s="11" t="s">
        <v>165</v>
      </c>
      <c r="D33" s="11" t="s">
        <v>101</v>
      </c>
      <c r="E33" s="11" t="s">
        <v>166</v>
      </c>
      <c r="F33" s="22">
        <v>2.5</v>
      </c>
      <c r="G33" s="37" t="s">
        <v>145</v>
      </c>
      <c r="H33" s="25" t="b">
        <v>0</v>
      </c>
    </row>
    <row r="34" ht="45.75" customHeight="1">
      <c r="A34" s="18">
        <v>23.0</v>
      </c>
      <c r="B34" s="11" t="s">
        <v>167</v>
      </c>
      <c r="C34" s="11" t="s">
        <v>168</v>
      </c>
      <c r="D34" s="11" t="s">
        <v>169</v>
      </c>
      <c r="E34" s="11" t="s">
        <v>170</v>
      </c>
      <c r="F34" s="22">
        <v>2.0</v>
      </c>
      <c r="G34" s="37" t="s">
        <v>145</v>
      </c>
      <c r="H34" s="25" t="b">
        <v>0</v>
      </c>
    </row>
    <row r="35" ht="45.75" customHeight="1">
      <c r="A35" s="18">
        <v>24.0</v>
      </c>
      <c r="B35" s="11" t="s">
        <v>171</v>
      </c>
      <c r="C35" s="11" t="s">
        <v>172</v>
      </c>
      <c r="D35" s="11" t="s">
        <v>57</v>
      </c>
      <c r="E35" s="11" t="s">
        <v>173</v>
      </c>
      <c r="F35" s="22">
        <v>1.5</v>
      </c>
      <c r="G35" s="37" t="s">
        <v>145</v>
      </c>
      <c r="H35" s="25" t="b">
        <v>0</v>
      </c>
    </row>
    <row r="36" ht="45.75" customHeight="1">
      <c r="A36" s="18">
        <v>25.0</v>
      </c>
      <c r="B36" s="11" t="s">
        <v>174</v>
      </c>
      <c r="C36" s="11" t="s">
        <v>175</v>
      </c>
      <c r="D36" s="11" t="s">
        <v>143</v>
      </c>
      <c r="E36" s="11" t="s">
        <v>176</v>
      </c>
      <c r="F36" s="22">
        <v>2.5</v>
      </c>
      <c r="G36" s="37" t="s">
        <v>145</v>
      </c>
      <c r="H36" s="25" t="b">
        <v>0</v>
      </c>
    </row>
    <row r="37" ht="45.75" customHeight="1">
      <c r="A37" s="18">
        <v>26.0</v>
      </c>
      <c r="B37" s="11" t="s">
        <v>178</v>
      </c>
      <c r="C37" s="11" t="s">
        <v>179</v>
      </c>
      <c r="D37" s="11" t="s">
        <v>57</v>
      </c>
      <c r="E37" s="11" t="s">
        <v>180</v>
      </c>
      <c r="F37" s="22">
        <v>2.5</v>
      </c>
      <c r="G37" s="37" t="s">
        <v>145</v>
      </c>
      <c r="H37" s="25" t="b">
        <v>0</v>
      </c>
    </row>
    <row r="38" ht="45.75" customHeight="1">
      <c r="A38" s="18">
        <v>27.0</v>
      </c>
      <c r="B38" s="11" t="s">
        <v>181</v>
      </c>
      <c r="C38" s="11" t="s">
        <v>182</v>
      </c>
      <c r="D38" s="11" t="s">
        <v>143</v>
      </c>
      <c r="E38" s="11" t="s">
        <v>183</v>
      </c>
      <c r="F38" s="22">
        <v>3.5</v>
      </c>
      <c r="G38" s="37" t="s">
        <v>145</v>
      </c>
      <c r="H38" s="25" t="b">
        <v>0</v>
      </c>
    </row>
    <row r="39" ht="45.75" customHeight="1">
      <c r="A39" s="18">
        <v>28.0</v>
      </c>
      <c r="B39" s="11" t="s">
        <v>185</v>
      </c>
      <c r="C39" s="11" t="s">
        <v>186</v>
      </c>
      <c r="D39" s="11" t="s">
        <v>188</v>
      </c>
      <c r="E39" s="11" t="s">
        <v>189</v>
      </c>
      <c r="F39" s="22">
        <v>4.0</v>
      </c>
      <c r="G39" s="37" t="s">
        <v>145</v>
      </c>
      <c r="H39" s="25" t="b">
        <v>0</v>
      </c>
    </row>
    <row r="40" ht="45.75" customHeight="1">
      <c r="A40" s="18">
        <v>29.0</v>
      </c>
      <c r="B40" s="11" t="s">
        <v>192</v>
      </c>
      <c r="C40" s="11" t="s">
        <v>194</v>
      </c>
      <c r="D40" s="11" t="s">
        <v>38</v>
      </c>
      <c r="E40" s="11" t="s">
        <v>195</v>
      </c>
      <c r="F40" s="22">
        <v>4.0</v>
      </c>
      <c r="G40" s="37" t="s">
        <v>145</v>
      </c>
      <c r="H40" s="25" t="b">
        <v>0</v>
      </c>
    </row>
    <row r="41" ht="15.75" customHeight="1"/>
    <row r="42" ht="15.0" customHeight="1">
      <c r="A42" s="41" t="s">
        <v>196</v>
      </c>
      <c r="B42" s="2"/>
      <c r="C42" s="2"/>
      <c r="D42" s="2"/>
      <c r="E42" s="2"/>
      <c r="F42" s="4"/>
      <c r="G42" s="44">
        <f>SUMIF($G$6:$G$40,"Có",$F$6:$F$40)</f>
        <v>23</v>
      </c>
    </row>
    <row r="43" ht="15.0" customHeight="1">
      <c r="A43" s="45" t="s">
        <v>200</v>
      </c>
      <c r="B43" s="2"/>
      <c r="C43" s="2"/>
      <c r="D43" s="2"/>
      <c r="E43" s="2"/>
      <c r="F43" s="4"/>
      <c r="G43" s="47">
        <f>SUM($F$6:$F$40)</f>
        <v>63</v>
      </c>
      <c r="H43" s="29" t="s">
        <v>207</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G1"/>
    <mergeCell ref="A2:G2"/>
    <mergeCell ref="A5:G5"/>
    <mergeCell ref="A14:G14"/>
    <mergeCell ref="A21:G21"/>
    <mergeCell ref="A26:G26"/>
    <mergeCell ref="A42:F42"/>
    <mergeCell ref="A43:F43"/>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6.0"/>
    <col customWidth="1" min="2" max="3" width="14.0"/>
    <col customWidth="1" min="4" max="4" width="55.0"/>
    <col customWidth="1" min="5" max="26" width="8.71"/>
  </cols>
  <sheetData>
    <row r="1" ht="24.0" customHeight="1">
      <c r="A1" s="1" t="s">
        <v>0</v>
      </c>
      <c r="B1" s="2"/>
      <c r="C1" s="4"/>
    </row>
    <row r="2" ht="25.5" customHeight="1">
      <c r="A2" s="7" t="s">
        <v>5</v>
      </c>
    </row>
    <row r="4">
      <c r="A4" s="8" t="s">
        <v>9</v>
      </c>
      <c r="B4" s="8" t="s">
        <v>14</v>
      </c>
      <c r="C4" s="8" t="s">
        <v>17</v>
      </c>
      <c r="D4" s="8" t="s">
        <v>20</v>
      </c>
    </row>
    <row r="5" ht="33.75" customHeight="1">
      <c r="A5" s="10" t="s">
        <v>23</v>
      </c>
      <c r="B5" s="13">
        <v>250000.0</v>
      </c>
      <c r="C5" s="14" t="s">
        <v>31</v>
      </c>
      <c r="D5" s="16" t="s">
        <v>32</v>
      </c>
    </row>
    <row r="6" ht="33.75" customHeight="1">
      <c r="A6" s="11" t="s">
        <v>33</v>
      </c>
      <c r="B6" s="17">
        <v>1.75</v>
      </c>
      <c r="C6" s="18" t="s">
        <v>34</v>
      </c>
      <c r="D6" s="19" t="s">
        <v>36</v>
      </c>
    </row>
    <row r="7" ht="33.75" customHeight="1">
      <c r="A7" s="11" t="s">
        <v>40</v>
      </c>
      <c r="B7" s="21">
        <v>1.0</v>
      </c>
      <c r="C7" s="18" t="s">
        <v>34</v>
      </c>
      <c r="D7" s="19" t="s">
        <v>41</v>
      </c>
    </row>
    <row r="8" ht="33.75" customHeight="1">
      <c r="A8" s="11" t="s">
        <v>43</v>
      </c>
      <c r="B8" s="24">
        <v>400000.0</v>
      </c>
      <c r="C8" s="18" t="s">
        <v>44</v>
      </c>
      <c r="D8" s="19" t="s">
        <v>45</v>
      </c>
    </row>
    <row r="9" ht="33.75" customHeight="1">
      <c r="A9" s="11" t="s">
        <v>46</v>
      </c>
      <c r="B9" s="26">
        <v>2.0</v>
      </c>
      <c r="C9" s="18" t="s">
        <v>48</v>
      </c>
      <c r="D9" s="19" t="s">
        <v>50</v>
      </c>
    </row>
    <row r="10" ht="33.75" customHeight="1">
      <c r="A10" s="11" t="s">
        <v>52</v>
      </c>
      <c r="B10" s="26">
        <v>5.0</v>
      </c>
      <c r="C10" s="18" t="s">
        <v>53</v>
      </c>
      <c r="D10" s="19" t="s">
        <v>54</v>
      </c>
    </row>
    <row r="11" ht="33.75" customHeight="1">
      <c r="A11" s="11" t="s">
        <v>63</v>
      </c>
      <c r="B11" s="26">
        <v>2.0</v>
      </c>
      <c r="C11" s="18" t="s">
        <v>65</v>
      </c>
      <c r="D11" s="19" t="s">
        <v>66</v>
      </c>
    </row>
    <row r="12" ht="33.75" customHeight="1">
      <c r="A12" s="11" t="s">
        <v>67</v>
      </c>
      <c r="B12" s="28">
        <v>0.005</v>
      </c>
      <c r="C12" s="18" t="s">
        <v>73</v>
      </c>
      <c r="D12" s="19" t="s">
        <v>74</v>
      </c>
    </row>
    <row r="13" ht="33.75" customHeight="1">
      <c r="A13" s="11" t="s">
        <v>75</v>
      </c>
      <c r="B13" s="30">
        <v>0.35</v>
      </c>
      <c r="C13" s="18" t="s">
        <v>73</v>
      </c>
      <c r="D13" s="32" t="s">
        <v>81</v>
      </c>
    </row>
    <row r="14" ht="33.75" customHeight="1">
      <c r="A14" s="11" t="s">
        <v>84</v>
      </c>
      <c r="B14" s="28">
        <v>0.005</v>
      </c>
      <c r="C14" s="18" t="s">
        <v>73</v>
      </c>
      <c r="D14" s="19" t="s">
        <v>87</v>
      </c>
    </row>
    <row r="15" ht="33.75" customHeight="1">
      <c r="A15" s="11" t="s">
        <v>88</v>
      </c>
      <c r="B15" s="30">
        <v>0.2</v>
      </c>
      <c r="C15" s="18" t="s">
        <v>73</v>
      </c>
      <c r="D15" s="32" t="s">
        <v>90</v>
      </c>
    </row>
    <row r="16" ht="33.75" customHeight="1">
      <c r="A16" s="11" t="s">
        <v>92</v>
      </c>
      <c r="B16" s="26">
        <v>3.0</v>
      </c>
      <c r="C16" s="18" t="s">
        <v>65</v>
      </c>
      <c r="D16" s="19" t="s">
        <v>94</v>
      </c>
    </row>
    <row r="17" ht="33.75" customHeight="1">
      <c r="A17" s="11" t="s">
        <v>95</v>
      </c>
      <c r="B17" s="26">
        <v>5.0</v>
      </c>
      <c r="C17" s="18" t="s">
        <v>65</v>
      </c>
      <c r="D17" s="19" t="s">
        <v>94</v>
      </c>
    </row>
    <row r="18" ht="33.75" customHeight="1">
      <c r="A18" s="11" t="s">
        <v>96</v>
      </c>
      <c r="B18" s="26">
        <v>30.0</v>
      </c>
      <c r="C18" s="18" t="s">
        <v>65</v>
      </c>
      <c r="D18" s="19" t="s">
        <v>97</v>
      </c>
    </row>
    <row r="19" ht="33.75" customHeight="1">
      <c r="A19" s="11" t="s">
        <v>98</v>
      </c>
      <c r="B19" s="24">
        <v>1000000.0</v>
      </c>
      <c r="C19" s="18" t="s">
        <v>44</v>
      </c>
      <c r="D19" s="19" t="s">
        <v>102</v>
      </c>
    </row>
    <row r="20" ht="33.75" customHeight="1">
      <c r="A20" s="11" t="s">
        <v>106</v>
      </c>
      <c r="B20" s="24">
        <v>2500000.0</v>
      </c>
      <c r="C20" s="18" t="s">
        <v>44</v>
      </c>
      <c r="D20" s="19" t="s">
        <v>107</v>
      </c>
    </row>
    <row r="21" ht="33.75" customHeight="1">
      <c r="A21" s="11" t="s">
        <v>109</v>
      </c>
      <c r="B21" s="28">
        <v>0.4</v>
      </c>
      <c r="C21" s="18" t="s">
        <v>73</v>
      </c>
      <c r="D21" s="19" t="s">
        <v>111</v>
      </c>
    </row>
    <row r="22" ht="33.75" customHeight="1">
      <c r="A22" s="11" t="s">
        <v>113</v>
      </c>
      <c r="B22" s="21">
        <v>1.0</v>
      </c>
      <c r="C22" s="18" t="s">
        <v>34</v>
      </c>
      <c r="D22" s="19" t="s">
        <v>114</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D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 width="30.0"/>
    <col customWidth="1" min="4" max="4" width="40.14"/>
    <col customWidth="1" min="5" max="5" width="30.0"/>
    <col customWidth="1" min="6" max="26" width="8.71"/>
  </cols>
  <sheetData>
    <row r="1" ht="25.5" customHeight="1">
      <c r="A1" s="3" t="s">
        <v>2</v>
      </c>
      <c r="B1" s="2"/>
      <c r="C1" s="2"/>
      <c r="D1" s="2"/>
      <c r="E1" s="4"/>
    </row>
    <row r="2" ht="27.75" customHeight="1">
      <c r="A2" s="5" t="s">
        <v>3</v>
      </c>
    </row>
    <row r="4" ht="30.0" customHeight="1">
      <c r="A4" s="8" t="s">
        <v>6</v>
      </c>
      <c r="B4" s="8" t="s">
        <v>10</v>
      </c>
      <c r="C4" s="8" t="s">
        <v>13</v>
      </c>
      <c r="D4" s="8" t="s">
        <v>16</v>
      </c>
      <c r="E4" s="8" t="s">
        <v>18</v>
      </c>
    </row>
    <row r="5" ht="43.5" customHeight="1">
      <c r="A5" s="9" t="s">
        <v>21</v>
      </c>
      <c r="B5" s="11" t="s">
        <v>24</v>
      </c>
      <c r="C5" s="11" t="s">
        <v>26</v>
      </c>
      <c r="D5" s="11" t="s">
        <v>27</v>
      </c>
      <c r="E5" s="11" t="s">
        <v>28</v>
      </c>
    </row>
    <row r="6">
      <c r="A6" s="9" t="s">
        <v>29</v>
      </c>
      <c r="B6" s="20">
        <f>UC_HeThong!$G$42</f>
        <v>23</v>
      </c>
      <c r="C6" s="20">
        <f>UC_HeThong!$G$42</f>
        <v>23</v>
      </c>
      <c r="D6" s="20">
        <f>UC_HeThong!$G$43</f>
        <v>63</v>
      </c>
      <c r="E6" s="20">
        <f>UC_HeThong!$G$43</f>
        <v>63</v>
      </c>
      <c r="F6" s="29" t="s">
        <v>72</v>
      </c>
    </row>
    <row r="7">
      <c r="A7" s="9" t="s">
        <v>76</v>
      </c>
      <c r="B7" s="20">
        <f>UC_HeThong!$G$42</f>
        <v>23</v>
      </c>
      <c r="C7" s="20">
        <f>UC_HeThong!$G$42/2</f>
        <v>11.5</v>
      </c>
      <c r="D7" s="20">
        <f>UC_HeThong!$G$43</f>
        <v>63</v>
      </c>
      <c r="E7" s="20">
        <f>UC_HeThong!$G$43/2</f>
        <v>31.5</v>
      </c>
    </row>
    <row r="8">
      <c r="A8" s="9" t="s">
        <v>105</v>
      </c>
      <c r="B8" s="34">
        <f>B7/'Đơn Giá Hệ Thống'!$B$10</f>
        <v>4.6</v>
      </c>
      <c r="C8" s="34">
        <f>C7/'Đơn Giá Hệ Thống'!$B$10</f>
        <v>2.3</v>
      </c>
      <c r="D8" s="34">
        <f>D7/'Đơn Giá Hệ Thống'!$B$10</f>
        <v>12.6</v>
      </c>
      <c r="E8" s="34">
        <f>E7/'Đơn Giá Hệ Thống'!$B$10</f>
        <v>6.3</v>
      </c>
    </row>
    <row r="9">
      <c r="A9" s="9" t="s">
        <v>127</v>
      </c>
      <c r="B9" s="35">
        <f>UC_HeThong!$G$42*'Đơn Giá Hệ Thống'!$B$5*'Đơn Giá Hệ Thống'!$B$7</f>
        <v>5750000</v>
      </c>
      <c r="C9" s="35">
        <f>B9*'Đơn Giá Hệ Thống'!$B$6</f>
        <v>10062500</v>
      </c>
      <c r="D9" s="35">
        <f>UC_HeThong!$G$43*'Đơn Giá Hệ Thống'!$B$5*'Đơn Giá Hệ Thống'!$B$7</f>
        <v>15750000</v>
      </c>
      <c r="E9" s="35">
        <f>D9*'Đơn Giá Hệ Thống'!$B$6</f>
        <v>27562500</v>
      </c>
    </row>
    <row r="10">
      <c r="A10" s="9" t="s">
        <v>156</v>
      </c>
      <c r="B10" s="35">
        <f>'Đơn Giá Hệ Thống'!$B$8*'Đơn Giá Hệ Thống'!$B$9</f>
        <v>800000</v>
      </c>
      <c r="C10" s="35">
        <f>'Đơn Giá Hệ Thống'!$B$8*'Đơn Giá Hệ Thống'!$B$9</f>
        <v>800000</v>
      </c>
      <c r="D10" s="35">
        <f>'Đơn Giá Hệ Thống'!$B$8*'Đơn Giá Hệ Thống'!$B$9</f>
        <v>800000</v>
      </c>
      <c r="E10" s="35">
        <f>'Đơn Giá Hệ Thống'!$B$8*'Đơn Giá Hệ Thống'!$B$9</f>
        <v>800000</v>
      </c>
    </row>
    <row r="11" ht="24.0" customHeight="1">
      <c r="A11" s="39" t="s">
        <v>190</v>
      </c>
      <c r="B11" s="40">
        <f t="shared" ref="B11:E11" si="1">B9+B10</f>
        <v>6550000</v>
      </c>
      <c r="C11" s="40">
        <f t="shared" si="1"/>
        <v>10862500</v>
      </c>
      <c r="D11" s="40">
        <f t="shared" si="1"/>
        <v>16550000</v>
      </c>
      <c r="E11" s="40">
        <f t="shared" si="1"/>
        <v>28362500</v>
      </c>
    </row>
    <row r="13">
      <c r="A13" s="42" t="s">
        <v>197</v>
      </c>
    </row>
    <row r="14" ht="27.0" customHeight="1">
      <c r="A14" s="43" t="s">
        <v>198</v>
      </c>
    </row>
    <row r="15" ht="15.75" customHeight="1">
      <c r="A15" s="43" t="s">
        <v>199</v>
      </c>
    </row>
    <row r="16" ht="15.75" customHeight="1">
      <c r="A16" s="43" t="s">
        <v>201</v>
      </c>
    </row>
    <row r="17" ht="15.75" customHeight="1">
      <c r="A17" s="43" t="s">
        <v>203</v>
      </c>
    </row>
    <row r="18" ht="15.75" customHeight="1">
      <c r="A18" s="43" t="s">
        <v>204</v>
      </c>
    </row>
    <row r="19" ht="15.75" customHeight="1">
      <c r="A19" s="43" t="s">
        <v>205</v>
      </c>
    </row>
    <row r="20" ht="15.75" customHeight="1">
      <c r="A20" s="43" t="s">
        <v>206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9">
    <mergeCell ref="A19:E19"/>
    <mergeCell ref="A20:E20"/>
    <mergeCell ref="A1:E1"/>
    <mergeCell ref="A2:E2"/>
    <mergeCell ref="A14:E14"/>
    <mergeCell ref="A15:E15"/>
    <mergeCell ref="A16:E16"/>
    <mergeCell ref="A17:E17"/>
    <mergeCell ref="A18:E18"/>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0"/>
    <col customWidth="1" min="2" max="5" width="24.0"/>
    <col customWidth="1" min="6" max="26" width="8.71"/>
  </cols>
  <sheetData>
    <row r="1" ht="24.0" customHeight="1">
      <c r="A1" s="1" t="s">
        <v>61</v>
      </c>
      <c r="B1" s="2"/>
      <c r="C1" s="2"/>
      <c r="D1" s="2"/>
      <c r="E1" s="4"/>
    </row>
    <row r="2" ht="19.5" customHeight="1">
      <c r="A2" s="7" t="s">
        <v>70</v>
      </c>
    </row>
    <row r="4" ht="15.0" customHeight="1">
      <c r="A4" s="31" t="s">
        <v>77</v>
      </c>
      <c r="B4" s="2"/>
      <c r="C4" s="2"/>
      <c r="D4" s="2"/>
      <c r="E4" s="4"/>
    </row>
    <row r="5" ht="15.75" customHeight="1">
      <c r="A5" s="33" t="s">
        <v>86</v>
      </c>
    </row>
    <row r="6" ht="15.75" customHeight="1">
      <c r="A6" s="33" t="s">
        <v>91</v>
      </c>
    </row>
    <row r="8" ht="25.5" customHeight="1">
      <c r="A8" s="8" t="s">
        <v>9</v>
      </c>
      <c r="B8" s="8" t="s">
        <v>10</v>
      </c>
      <c r="C8" s="8" t="s">
        <v>13</v>
      </c>
      <c r="D8" s="8" t="s">
        <v>16</v>
      </c>
      <c r="E8" s="8" t="s">
        <v>18</v>
      </c>
    </row>
    <row r="9">
      <c r="A9" s="9" t="s">
        <v>103</v>
      </c>
      <c r="B9" s="35">
        <f>BaoGia!B11</f>
        <v>6550000</v>
      </c>
      <c r="C9" s="35">
        <f>BaoGia!C11</f>
        <v>10862500</v>
      </c>
      <c r="D9" s="35">
        <f>BaoGia!D11</f>
        <v>16550000</v>
      </c>
      <c r="E9" s="35">
        <f>BaoGia!E11</f>
        <v>28362500</v>
      </c>
    </row>
    <row r="10">
      <c r="A10" s="11" t="s">
        <v>129</v>
      </c>
      <c r="B10" s="36">
        <f>B9*'Đơn Giá Hệ Thống'!$B$21</f>
        <v>2620000</v>
      </c>
      <c r="C10" s="36">
        <f>C9*'Đơn Giá Hệ Thống'!$B$21</f>
        <v>4345000</v>
      </c>
      <c r="D10" s="36">
        <f>D9*'Đơn Giá Hệ Thống'!$B$21</f>
        <v>6620000</v>
      </c>
      <c r="E10" s="36">
        <f>E9*'Đơn Giá Hệ Thống'!$B$21</f>
        <v>11345000</v>
      </c>
    </row>
    <row r="11">
      <c r="A11" s="11" t="s">
        <v>146</v>
      </c>
      <c r="B11" s="38">
        <f>B9*(1-'Đơn Giá Hệ Thống'!$B$21)</f>
        <v>3930000</v>
      </c>
      <c r="C11" s="38">
        <f>C9*(1-'Đơn Giá Hệ Thống'!$B$21)</f>
        <v>6517500</v>
      </c>
      <c r="D11" s="38">
        <f>D9*(1-'Đơn Giá Hệ Thống'!$B$21)</f>
        <v>9930000</v>
      </c>
      <c r="E11" s="38">
        <f>E9*(1-'Đơn Giá Hệ Thống'!$B$21)</f>
        <v>17017500</v>
      </c>
    </row>
    <row r="14" ht="15.0" customHeight="1">
      <c r="A14" s="31" t="s">
        <v>177</v>
      </c>
      <c r="B14" s="2"/>
      <c r="C14" s="2"/>
      <c r="D14" s="2"/>
      <c r="E14" s="4"/>
    </row>
    <row r="15" ht="15.75" customHeight="1">
      <c r="A15" s="33" t="s">
        <v>184</v>
      </c>
    </row>
    <row r="16" ht="15.75" customHeight="1">
      <c r="A16" s="33" t="s">
        <v>187</v>
      </c>
    </row>
    <row r="17" ht="15.75" customHeight="1">
      <c r="A17" s="33" t="s">
        <v>191</v>
      </c>
    </row>
    <row r="18" ht="15.75" customHeight="1">
      <c r="A18" s="33" t="s">
        <v>193</v>
      </c>
    </row>
    <row r="20" ht="25.5" customHeight="1">
      <c r="A20" s="8" t="s">
        <v>9</v>
      </c>
      <c r="B20" s="8" t="s">
        <v>10</v>
      </c>
      <c r="C20" s="8" t="s">
        <v>13</v>
      </c>
      <c r="D20" s="8" t="s">
        <v>16</v>
      </c>
      <c r="E20" s="8" t="s">
        <v>18</v>
      </c>
    </row>
    <row r="21" ht="15.75" customHeight="1">
      <c r="A21" s="9" t="s">
        <v>103</v>
      </c>
      <c r="B21" s="35">
        <f>BaoGia!B11</f>
        <v>6550000</v>
      </c>
      <c r="C21" s="35">
        <f>BaoGia!C11</f>
        <v>10862500</v>
      </c>
      <c r="D21" s="35">
        <f>BaoGia!D11</f>
        <v>16550000</v>
      </c>
      <c r="E21" s="35">
        <f>BaoGia!E11</f>
        <v>28362500</v>
      </c>
    </row>
    <row r="22" ht="15.75" customHeight="1">
      <c r="A22" s="9" t="s">
        <v>202</v>
      </c>
      <c r="B22" s="46">
        <f>ROUND(BaoGia!B8*7,0)</f>
        <v>32</v>
      </c>
      <c r="C22" s="46">
        <f>ROUND(BaoGia!C8*7,0)</f>
        <v>16</v>
      </c>
      <c r="D22" s="46">
        <f>ROUND(BaoGia!D8*7,0)</f>
        <v>88</v>
      </c>
      <c r="E22" s="46">
        <f>ROUND(BaoGia!E8*7,0)</f>
        <v>44</v>
      </c>
    </row>
    <row r="23" ht="15.75" customHeight="1">
      <c r="A23" s="11" t="s">
        <v>208</v>
      </c>
      <c r="B23" s="35">
        <f>B21*'Đơn Giá Hệ Thống'!$B$12</f>
        <v>32750</v>
      </c>
      <c r="C23" s="35">
        <f>C21*'Đơn Giá Hệ Thống'!$B$12</f>
        <v>54312.5</v>
      </c>
      <c r="D23" s="35">
        <f>D21*'Đơn Giá Hệ Thống'!$B$12</f>
        <v>82750</v>
      </c>
      <c r="E23" s="35">
        <f>E21*'Đơn Giá Hệ Thống'!$B$12</f>
        <v>141812.5</v>
      </c>
    </row>
    <row r="24" ht="15.75" customHeight="1">
      <c r="A24" s="11" t="s">
        <v>209</v>
      </c>
      <c r="B24" s="36">
        <f>B21*'Đơn Giá Hệ Thống'!$B$13</f>
        <v>2292500</v>
      </c>
      <c r="C24" s="36">
        <f>C21*'Đơn Giá Hệ Thống'!$B$13</f>
        <v>3801875</v>
      </c>
      <c r="D24" s="36">
        <f>D21*'Đơn Giá Hệ Thống'!$B$13</f>
        <v>5792500</v>
      </c>
      <c r="E24" s="36">
        <f>E21*'Đơn Giá Hệ Thống'!$B$13</f>
        <v>9926875</v>
      </c>
    </row>
    <row r="25" ht="15.75" customHeight="1">
      <c r="A25" s="48" t="s">
        <v>210</v>
      </c>
      <c r="B25" s="49">
        <f>MIN(B21*'Đơn Giá Hệ Thống'!$B$12*'Đơn Giá Hệ Thống'!$B$16,B21*'Đơn Giá Hệ Thống'!$B$13)</f>
        <v>98250</v>
      </c>
      <c r="C25" s="49">
        <f>MIN(C21*'Đơn Giá Hệ Thống'!$B$12*'Đơn Giá Hệ Thống'!$B$16,C21*'Đơn Giá Hệ Thống'!$B$13)</f>
        <v>162937.5</v>
      </c>
      <c r="D25" s="49">
        <f>MIN(D21*'Đơn Giá Hệ Thống'!$B$12*'Đơn Giá Hệ Thống'!$B$16,D21*'Đơn Giá Hệ Thống'!$B$13)</f>
        <v>248250</v>
      </c>
      <c r="E25" s="49">
        <f>MIN(E21*'Đơn Giá Hệ Thống'!$B$12*'Đơn Giá Hệ Thống'!$B$16,E21*'Đơn Giá Hệ Thống'!$B$13)</f>
        <v>425437.5</v>
      </c>
    </row>
    <row r="26" ht="15.75" customHeight="1"/>
    <row r="27" ht="15.75" customHeight="1">
      <c r="A27" s="11" t="s">
        <v>218</v>
      </c>
      <c r="B27" s="35">
        <f>B21*'Đơn Giá Hệ Thống'!$B$14</f>
        <v>32750</v>
      </c>
      <c r="C27" s="35">
        <f>C21*'Đơn Giá Hệ Thống'!$B$14</f>
        <v>54312.5</v>
      </c>
      <c r="D27" s="35">
        <f>D21*'Đơn Giá Hệ Thống'!$B$14</f>
        <v>82750</v>
      </c>
      <c r="E27" s="35">
        <f>E21*'Đơn Giá Hệ Thống'!$B$14</f>
        <v>141812.5</v>
      </c>
    </row>
    <row r="28" ht="15.75" customHeight="1">
      <c r="A28" s="11" t="s">
        <v>220</v>
      </c>
      <c r="B28" s="38">
        <f>B21*'Đơn Giá Hệ Thống'!$B$15</f>
        <v>1310000</v>
      </c>
      <c r="C28" s="38">
        <f>C21*'Đơn Giá Hệ Thống'!$B$15</f>
        <v>2172500</v>
      </c>
      <c r="D28" s="38">
        <f>D21*'Đơn Giá Hệ Thống'!$B$15</f>
        <v>3310000</v>
      </c>
      <c r="E28" s="38">
        <f>E21*'Đơn Giá Hệ Thống'!$B$15</f>
        <v>5672500</v>
      </c>
    </row>
    <row r="29" ht="15.75" customHeight="1">
      <c r="A29" s="48" t="s">
        <v>222</v>
      </c>
      <c r="B29" s="50">
        <f>MIN(B21*'Đơn Giá Hệ Thống'!$B$14*'Đơn Giá Hệ Thống'!$B$17,B21*'Đơn Giá Hệ Thống'!$B$15)</f>
        <v>163750</v>
      </c>
      <c r="C29" s="50">
        <f>MIN(C21*'Đơn Giá Hệ Thống'!$B$14*'Đơn Giá Hệ Thống'!$B$17,C21*'Đơn Giá Hệ Thống'!$B$15)</f>
        <v>271562.5</v>
      </c>
      <c r="D29" s="50">
        <f>MIN(D21*'Đơn Giá Hệ Thống'!$B$14*'Đơn Giá Hệ Thống'!$B$17,D21*'Đơn Giá Hệ Thống'!$B$15)</f>
        <v>413750</v>
      </c>
      <c r="E29" s="50">
        <f>MIN(E21*'Đơn Giá Hệ Thống'!$B$14*'Đơn Giá Hệ Thống'!$B$17,E21*'Đơn Giá Hệ Thống'!$B$15)</f>
        <v>709062.5</v>
      </c>
    </row>
    <row r="30" ht="15.75" customHeight="1"/>
    <row r="31" ht="15.75" customHeight="1"/>
    <row r="32" ht="15.0" customHeight="1">
      <c r="A32" s="31" t="s">
        <v>226</v>
      </c>
      <c r="B32" s="2"/>
      <c r="C32" s="2"/>
      <c r="D32" s="2"/>
      <c r="E32" s="4"/>
    </row>
    <row r="33" ht="15.75" customHeight="1">
      <c r="A33" s="33" t="s">
        <v>227</v>
      </c>
    </row>
    <row r="34" ht="15.75" customHeight="1">
      <c r="A34" s="33" t="s">
        <v>228</v>
      </c>
    </row>
    <row r="35" ht="15.75" customHeight="1">
      <c r="A35" s="33" t="s">
        <v>229</v>
      </c>
    </row>
    <row r="36" ht="15.75" customHeight="1"/>
    <row r="37" ht="24.0" customHeight="1">
      <c r="A37" s="8" t="s">
        <v>6</v>
      </c>
      <c r="B37" s="8" t="s">
        <v>230</v>
      </c>
      <c r="C37" s="8" t="s">
        <v>231</v>
      </c>
    </row>
    <row r="38" ht="21.75" customHeight="1">
      <c r="A38" s="9" t="s">
        <v>233</v>
      </c>
      <c r="B38" s="52">
        <f>'Đơn Giá Hệ Thống'!$B$19</f>
        <v>1000000</v>
      </c>
      <c r="C38" s="52">
        <f>'Đơn Giá Hệ Thống'!$B$20</f>
        <v>2500000</v>
      </c>
    </row>
    <row r="39" ht="21.75" customHeight="1">
      <c r="A39" s="9" t="s">
        <v>235</v>
      </c>
      <c r="B39" s="18" t="s">
        <v>42</v>
      </c>
      <c r="C39" s="18" t="s">
        <v>42</v>
      </c>
    </row>
    <row r="40" ht="21.75" customHeight="1">
      <c r="A40" s="9" t="s">
        <v>236</v>
      </c>
      <c r="B40" s="18" t="s">
        <v>42</v>
      </c>
      <c r="C40" s="18" t="s">
        <v>42</v>
      </c>
    </row>
    <row r="41" ht="21.75" customHeight="1">
      <c r="A41" s="9" t="s">
        <v>238</v>
      </c>
      <c r="B41" s="18" t="s">
        <v>145</v>
      </c>
      <c r="C41" s="18" t="s">
        <v>42</v>
      </c>
    </row>
    <row r="42" ht="21.75" customHeight="1">
      <c r="A42" s="9" t="s">
        <v>239</v>
      </c>
      <c r="B42" s="18" t="s">
        <v>240</v>
      </c>
      <c r="C42" s="18" t="s">
        <v>241</v>
      </c>
    </row>
    <row r="43" ht="21.75" customHeight="1">
      <c r="A43" s="9" t="s">
        <v>242</v>
      </c>
      <c r="B43" s="18" t="s">
        <v>243</v>
      </c>
      <c r="C43" s="18" t="s">
        <v>244</v>
      </c>
    </row>
    <row r="44" ht="21.75" customHeight="1">
      <c r="A44" s="9" t="s">
        <v>245</v>
      </c>
      <c r="B44" s="18" t="s">
        <v>246</v>
      </c>
      <c r="C44" s="18" t="s">
        <v>246</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6:E16"/>
    <mergeCell ref="A17:E17"/>
    <mergeCell ref="A18:E18"/>
    <mergeCell ref="A32:E32"/>
    <mergeCell ref="A33:E33"/>
    <mergeCell ref="A34:E34"/>
    <mergeCell ref="A35:E35"/>
    <mergeCell ref="A1:E1"/>
    <mergeCell ref="A2:E2"/>
    <mergeCell ref="A4:E4"/>
    <mergeCell ref="A5:E5"/>
    <mergeCell ref="A6:E6"/>
    <mergeCell ref="A14:E14"/>
    <mergeCell ref="A15:E15"/>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6.0"/>
    <col customWidth="1" min="2" max="2" width="27.86"/>
    <col customWidth="1" min="3" max="3" width="37.14"/>
    <col customWidth="1" min="4" max="26" width="8.71"/>
  </cols>
  <sheetData>
    <row r="1" ht="24.0" customHeight="1">
      <c r="A1" s="1" t="s">
        <v>211</v>
      </c>
      <c r="B1" s="2"/>
      <c r="C1" s="4"/>
    </row>
    <row r="2" ht="27.75" customHeight="1">
      <c r="A2" s="6" t="s">
        <v>212</v>
      </c>
    </row>
    <row r="4" ht="30.0" customHeight="1">
      <c r="A4" s="33" t="s">
        <v>213</v>
      </c>
    </row>
    <row r="5" ht="30.0" customHeight="1">
      <c r="A5" s="33" t="s">
        <v>214</v>
      </c>
    </row>
    <row r="7" ht="25.5" customHeight="1">
      <c r="A7" s="8" t="s">
        <v>9</v>
      </c>
      <c r="B7" s="8" t="s">
        <v>215</v>
      </c>
      <c r="C7" s="8" t="s">
        <v>216</v>
      </c>
    </row>
    <row r="8">
      <c r="A8" s="9" t="s">
        <v>217</v>
      </c>
      <c r="B8" s="20">
        <f>UC_HeThong!$G$43-UC_HeThong!$G$42</f>
        <v>40</v>
      </c>
      <c r="C8" s="20">
        <f>UC_HeThong!$G$43-UC_HeThong!$G$42</f>
        <v>40</v>
      </c>
    </row>
    <row r="9">
      <c r="A9" s="11" t="s">
        <v>219</v>
      </c>
      <c r="B9" s="35">
        <f>BaoGia!D9-BaoGia!B9</f>
        <v>10000000</v>
      </c>
      <c r="C9" s="35">
        <f>BaoGia!E9-BaoGia!C9</f>
        <v>17500000</v>
      </c>
    </row>
    <row r="10">
      <c r="A10" s="9" t="s">
        <v>221</v>
      </c>
      <c r="B10" s="38">
        <f>B9*'Đơn Giá Hệ Thống'!$B$22</f>
        <v>10000000</v>
      </c>
      <c r="C10" s="38">
        <f>C9*'Đơn Giá Hệ Thống'!$B$22</f>
        <v>17500000</v>
      </c>
    </row>
    <row r="11">
      <c r="A11" s="48" t="s">
        <v>223</v>
      </c>
      <c r="B11" s="51">
        <f t="shared" ref="B11:C11" si="1">B10-B9</f>
        <v>0</v>
      </c>
      <c r="C11" s="51">
        <f t="shared" si="1"/>
        <v>0</v>
      </c>
    </row>
    <row r="13">
      <c r="A13" s="11" t="s">
        <v>224</v>
      </c>
      <c r="B13" s="36">
        <f>B10*'Đơn Giá Hệ Thống'!$B$21</f>
        <v>4000000</v>
      </c>
      <c r="C13" s="36">
        <f>C10*'Đơn Giá Hệ Thống'!$B$21</f>
        <v>7000000</v>
      </c>
    </row>
    <row r="14">
      <c r="A14" s="11" t="s">
        <v>225</v>
      </c>
      <c r="B14" s="38">
        <f>B10*(1-'Đơn Giá Hệ Thống'!$B$21)</f>
        <v>6000000</v>
      </c>
      <c r="C14" s="38">
        <f>C10*(1-'Đơn Giá Hệ Thống'!$B$21)</f>
        <v>10500000</v>
      </c>
    </row>
    <row r="17" ht="15.0" customHeight="1">
      <c r="A17" s="31" t="s">
        <v>232</v>
      </c>
      <c r="B17" s="2"/>
      <c r="C17" s="4"/>
    </row>
    <row r="18">
      <c r="A18" s="11" t="s">
        <v>234</v>
      </c>
      <c r="B18" s="35">
        <f>BaoGia!D11</f>
        <v>16550000</v>
      </c>
      <c r="C18" s="35">
        <f>BaoGia!E11</f>
        <v>28362500</v>
      </c>
    </row>
    <row r="19">
      <c r="A19" s="11" t="s">
        <v>237</v>
      </c>
      <c r="B19" s="35">
        <f>BaoGia!B11+B10</f>
        <v>16550000</v>
      </c>
      <c r="C19" s="35">
        <f>BaoGia!C11+C10</f>
        <v>28362500</v>
      </c>
    </row>
    <row r="20">
      <c r="A20" s="53" t="s">
        <v>247</v>
      </c>
      <c r="B20" s="54">
        <f t="shared" ref="B20:C20" si="2">B19-B18</f>
        <v>0</v>
      </c>
      <c r="C20" s="54">
        <f t="shared" si="2"/>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C1"/>
    <mergeCell ref="A2:C2"/>
    <mergeCell ref="A4:C4"/>
    <mergeCell ref="A5:C5"/>
    <mergeCell ref="A17:C17"/>
  </mergeCells>
  <printOptions/>
  <pageMargins bottom="1.0" footer="0.0" header="0.0" left="0.75" right="0.75" top="1.0"/>
  <pageSetup paperSize="9" orientation="portrait"/>
  <drawing r:id="rId1"/>
</worksheet>
</file>